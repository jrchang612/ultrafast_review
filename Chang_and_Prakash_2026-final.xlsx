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chang612/ultrafast_review/"/>
    </mc:Choice>
  </mc:AlternateContent>
  <xr:revisionPtr revIDLastSave="0" documentId="13_ncr:1_{84A35EA5-07AD-1346-9120-89D3A31AC3BB}" xr6:coauthVersionLast="47" xr6:coauthVersionMax="47" xr10:uidLastSave="{00000000-0000-0000-0000-000000000000}"/>
  <bookViews>
    <workbookView xWindow="0" yWindow="640" windowWidth="30240" windowHeight="17700" activeTab="2" xr2:uid="{E251A7B9-E37A-B343-B1EA-967E0CD28B15}"/>
  </bookViews>
  <sheets>
    <sheet name="Speed - phylogeny" sheetId="1" r:id="rId1"/>
    <sheet name="Speed - line plot" sheetId="2" r:id="rId2"/>
    <sheet name="Acceleration - line plot" sheetId="3" r:id="rId3"/>
    <sheet name="area strain rate" sheetId="5" r:id="rId4"/>
    <sheet name="volume expansion strain rate" sheetId="6" r:id="rId5"/>
    <sheet name="density change rat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" i="1"/>
</calcChain>
</file>

<file path=xl/sharedStrings.xml><?xml version="1.0" encoding="utf-8"?>
<sst xmlns="http://schemas.openxmlformats.org/spreadsheetml/2006/main" count="1684" uniqueCount="544">
  <si>
    <t>Species</t>
  </si>
  <si>
    <t>Types</t>
  </si>
  <si>
    <t>Phylum</t>
  </si>
  <si>
    <t>Class</t>
  </si>
  <si>
    <t>L[μm]</t>
  </si>
  <si>
    <t>U[μm/s]</t>
  </si>
  <si>
    <t>References</t>
  </si>
  <si>
    <t>speed/BL</t>
  </si>
  <si>
    <t>Mesodinium rubrum</t>
  </si>
  <si>
    <t>ciliates</t>
  </si>
  <si>
    <t>imnc.</t>
  </si>
  <si>
    <t>lit.</t>
  </si>
  <si>
    <t>Uronychia setigera</t>
  </si>
  <si>
    <t>spir.</t>
  </si>
  <si>
    <t>(Leonildi et al., 1998)</t>
  </si>
  <si>
    <t>Uronychia transfuga</t>
  </si>
  <si>
    <t>Strombidium claparedi</t>
  </si>
  <si>
    <t>(Bullington, 1925)</t>
  </si>
  <si>
    <t>Uronema filificum</t>
  </si>
  <si>
    <t>olig.</t>
  </si>
  <si>
    <t>(Fenchel and Blackburn, 1999)</t>
  </si>
  <si>
    <t>Uronema sp.</t>
  </si>
  <si>
    <t>Strombidium sulcatum</t>
  </si>
  <si>
    <t>Lacrymaria lagenula</t>
  </si>
  <si>
    <t>Uronema marinum</t>
  </si>
  <si>
    <t>Porpostoma notatum</t>
  </si>
  <si>
    <t>Paramecium polycaryum</t>
  </si>
  <si>
    <t>(Bullington, 1930)</t>
  </si>
  <si>
    <t>Euplotes charon</t>
  </si>
  <si>
    <t>Nassula ambigua</t>
  </si>
  <si>
    <t>nassophorea</t>
  </si>
  <si>
    <t>Balanion comatum</t>
  </si>
  <si>
    <t>prostomatea</t>
  </si>
  <si>
    <t>(Visser and Kiørboe, 2006)</t>
  </si>
  <si>
    <t>Paramecium multimicronucleatum</t>
  </si>
  <si>
    <t>Paramecium woodruffi</t>
  </si>
  <si>
    <t>Didinium nasutum</t>
  </si>
  <si>
    <t>Ophryoglena sp.</t>
  </si>
  <si>
    <t>(Machemer, 1974)</t>
  </si>
  <si>
    <t>Tillina magna</t>
  </si>
  <si>
    <t>colpodea</t>
  </si>
  <si>
    <t>Paramecium bursaria</t>
  </si>
  <si>
    <t>Paramecium calkinsii</t>
  </si>
  <si>
    <t>Paramecium caudatum</t>
  </si>
  <si>
    <t>Strombidium sp.</t>
  </si>
  <si>
    <t>(Buskey et al., 1993)</t>
  </si>
  <si>
    <t>Halteria grandinella</t>
  </si>
  <si>
    <t>Lembadion bullinum</t>
  </si>
  <si>
    <t>Opisthonecta henneg</t>
  </si>
  <si>
    <t>Uronemella spp.</t>
  </si>
  <si>
    <t>(Petroff et al., 2015)</t>
  </si>
  <si>
    <t>Laboea strobila</t>
  </si>
  <si>
    <t>Paramecium marinum</t>
  </si>
  <si>
    <t>Urocentrum turbo</t>
  </si>
  <si>
    <t>Strombidium conicum</t>
  </si>
  <si>
    <t>Colpidium striatum</t>
  </si>
  <si>
    <t>(Beveridge et al., 2010)</t>
  </si>
  <si>
    <t>Coleps hirtus</t>
  </si>
  <si>
    <t>Favella sp.</t>
  </si>
  <si>
    <t>Paramecium aurelia</t>
  </si>
  <si>
    <t>Coleps sp.</t>
  </si>
  <si>
    <t>Tetrahymena pyriformis</t>
  </si>
  <si>
    <t>Paramecium tetraurelia</t>
  </si>
  <si>
    <t>(Funfak et al., 2015)</t>
  </si>
  <si>
    <t>Euplotes patella</t>
  </si>
  <si>
    <t>Prorodon teres</t>
  </si>
  <si>
    <t>Strobilidium spiralis</t>
  </si>
  <si>
    <t>Euplotes vannus</t>
  </si>
  <si>
    <t>Paramecium spp.</t>
  </si>
  <si>
    <t>Strombidinopsis acuminatum</t>
  </si>
  <si>
    <t>Kerona polyporum</t>
  </si>
  <si>
    <t>Stylonichia sp.</t>
  </si>
  <si>
    <t>Tetrahymena thermophila</t>
  </si>
  <si>
    <t>(Wood et al., 2007)</t>
  </si>
  <si>
    <t>Frontonia sp.</t>
  </si>
  <si>
    <t>Oxytricha bifara</t>
  </si>
  <si>
    <t>Stentor polymorphus</t>
  </si>
  <si>
    <t>pcdph.</t>
  </si>
  <si>
    <t>hettr.</t>
  </si>
  <si>
    <t>Oxytricha platystoma</t>
  </si>
  <si>
    <t>Tintinnopsis kofoidi</t>
  </si>
  <si>
    <t>Amphorides quadrilineata</t>
  </si>
  <si>
    <t>Strobilidium velox</t>
  </si>
  <si>
    <t>(Gilbert, 1994)</t>
  </si>
  <si>
    <t>Trachelocerca olor</t>
  </si>
  <si>
    <t>karyorelictea</t>
  </si>
  <si>
    <t>Metopides contorta</t>
  </si>
  <si>
    <t>armophorea</t>
  </si>
  <si>
    <t>Tintinnopsis vasculum</t>
  </si>
  <si>
    <t>Condylostoma patens</t>
  </si>
  <si>
    <t>Stentor caeruleus</t>
  </si>
  <si>
    <t>Eutintinnus cf. pinguis</t>
  </si>
  <si>
    <t>Oxytricha ferruginea</t>
  </si>
  <si>
    <t>Nassula ornata</t>
  </si>
  <si>
    <t>Spathidium spathula</t>
  </si>
  <si>
    <t>Trachelocerca tenuicollis</t>
  </si>
  <si>
    <t>Favella panamensis</t>
  </si>
  <si>
    <t>Uroleptus piscis</t>
  </si>
  <si>
    <t>Lembus velifer</t>
  </si>
  <si>
    <t>Stenosemella steinii</t>
  </si>
  <si>
    <t>Blepharisma</t>
  </si>
  <si>
    <t>Tintinnopsis tubulosa</t>
  </si>
  <si>
    <t>Tintinnopsis minuta</t>
  </si>
  <si>
    <t>Spirostomum teres</t>
  </si>
  <si>
    <t>Fabrea salina</t>
  </si>
  <si>
    <t>(Marangoni et al., 1995)</t>
  </si>
  <si>
    <t>Spirostomum sp.</t>
  </si>
  <si>
    <t>(Sleigh and Blake, 1977)</t>
  </si>
  <si>
    <t>Uroleptus rattulus</t>
  </si>
  <si>
    <t>Spirostomum ambiguum</t>
  </si>
  <si>
    <t>Amphileptus gigas</t>
  </si>
  <si>
    <t>Opalina ranarum</t>
  </si>
  <si>
    <t>placidozoa (heterokont)</t>
  </si>
  <si>
    <t>opalinea</t>
  </si>
  <si>
    <t>Crithidia (Strigomonas) oncopelti</t>
  </si>
  <si>
    <t>flagellates</t>
  </si>
  <si>
    <t>euglenozoa</t>
  </si>
  <si>
    <t>kinetoplastea</t>
  </si>
  <si>
    <t>dflg.</t>
  </si>
  <si>
    <t>dph.</t>
  </si>
  <si>
    <t>(Fenchel, 2001)</t>
  </si>
  <si>
    <t>(Meunier et al., 2013)</t>
  </si>
  <si>
    <t>Peridinium cf. quinquecorne</t>
  </si>
  <si>
    <t>Tetraflagellochloris mauritanica</t>
  </si>
  <si>
    <t>chlph.</t>
  </si>
  <si>
    <t>chlorophyceae</t>
  </si>
  <si>
    <t>(Barsanti et al., 2016)</t>
  </si>
  <si>
    <t>Hemiselmis simplex</t>
  </si>
  <si>
    <t>cryptophyta</t>
  </si>
  <si>
    <t>crypt.</t>
  </si>
  <si>
    <t>(Throndsen, 1973)</t>
  </si>
  <si>
    <t>Gymnodinium simplex</t>
  </si>
  <si>
    <t>(Jakobsen et al., 2006)</t>
  </si>
  <si>
    <t>Paragymnodinium shiwhaense</t>
  </si>
  <si>
    <t>Cafeteria roenbergensis</t>
  </si>
  <si>
    <t>bygira (heterokont)</t>
  </si>
  <si>
    <t>bicosoecida</t>
  </si>
  <si>
    <t>Monas stigmata</t>
  </si>
  <si>
    <t>ochph. (het.)</t>
  </si>
  <si>
    <t>chrys.</t>
  </si>
  <si>
    <t>(Gittleson et al., 1974)</t>
  </si>
  <si>
    <t>Rhodomonas salina</t>
  </si>
  <si>
    <t>Peridinium (Bysmatrum) gregarium</t>
  </si>
  <si>
    <t>(Levandowsky and Kaneta, 1987)</t>
  </si>
  <si>
    <t>Pyramimonas cf. disomata</t>
  </si>
  <si>
    <t>pyr.</t>
  </si>
  <si>
    <t>Katodinium rotundatum (Heterocapsa rotundata)</t>
  </si>
  <si>
    <t>Nephroselmis pyriformis</t>
  </si>
  <si>
    <t>nephrophyseae</t>
  </si>
  <si>
    <t>(Bauerfeind et al., 1986)</t>
  </si>
  <si>
    <t>Pteridomonas danica</t>
  </si>
  <si>
    <t>dict.</t>
  </si>
  <si>
    <t>(Christensen-Dalsgaard and Fenchel, 2004)</t>
  </si>
  <si>
    <t>Micromonas pusilla</t>
  </si>
  <si>
    <t>mamiellophyceae</t>
  </si>
  <si>
    <t>Heterocapsa rotundata</t>
  </si>
  <si>
    <t>Monostroma angicava</t>
  </si>
  <si>
    <t>ulvophyceae</t>
  </si>
  <si>
    <t>(Togashi et al., 1997)</t>
  </si>
  <si>
    <t>Oblea rotunda</t>
  </si>
  <si>
    <t>Pavlova lutheri</t>
  </si>
  <si>
    <t>haptophyta</t>
  </si>
  <si>
    <t>pavlovophyceae</t>
  </si>
  <si>
    <t>Ochromonas malhamensis</t>
  </si>
  <si>
    <t>(Holwill, 1974)</t>
  </si>
  <si>
    <t>Dunaliella sp.</t>
  </si>
  <si>
    <t>Apedinella spinifera</t>
  </si>
  <si>
    <t>Pseudopedinella pyriformis</t>
  </si>
  <si>
    <t>Ochromonas minima</t>
  </si>
  <si>
    <t>Heteromastix pyriformis</t>
  </si>
  <si>
    <t>Peridinium (Peridiniopsis) penardii</t>
  </si>
  <si>
    <t>(Sibley et al., 1974)</t>
  </si>
  <si>
    <t>Cachonina (Heterocapsa) niei</t>
  </si>
  <si>
    <t>Phaeocystis pouchetii</t>
  </si>
  <si>
    <t>prym.</t>
  </si>
  <si>
    <t>Chlamydomonas reinhardtii</t>
  </si>
  <si>
    <t>Polytomella agilis</t>
  </si>
  <si>
    <t>Gonyaulax polygramma</t>
  </si>
  <si>
    <t>Alexandrium minutum</t>
  </si>
  <si>
    <t>(Lewis et al., 2006)</t>
  </si>
  <si>
    <t>Pseudoscourfieldia marina</t>
  </si>
  <si>
    <t>Chlamydomonas moewusii</t>
  </si>
  <si>
    <t>Eutreptiella gymnastica</t>
  </si>
  <si>
    <t>euglenida (aphagea)</t>
  </si>
  <si>
    <t>Prorocentrum redfieldii Bursa (P.triestinum)</t>
  </si>
  <si>
    <t>(Sournia, 1982)</t>
  </si>
  <si>
    <t>Prorocentrum mariae-lebouriae</t>
  </si>
  <si>
    <t>Exuviaella baltica (Prorocentrum balticum)</t>
  </si>
  <si>
    <t>(Wheeler, 1966)</t>
  </si>
  <si>
    <t>Ochromonas danica</t>
  </si>
  <si>
    <t>(Holwill and Peters, 1974)</t>
  </si>
  <si>
    <t>Gyrodinium dorsum (bi-flagellated)</t>
  </si>
  <si>
    <t>Trypanosoma cruzi</t>
  </si>
  <si>
    <t>Peridinium umbonatum</t>
  </si>
  <si>
    <t>Paraphysomonas vestita</t>
  </si>
  <si>
    <t>Dinophysis acuta</t>
  </si>
  <si>
    <t>(Peters, 1929)</t>
  </si>
  <si>
    <t>Oxyrrhis marina</t>
  </si>
  <si>
    <t>oxyrrhea</t>
  </si>
  <si>
    <t>Protoperidinium pacificum</t>
  </si>
  <si>
    <t>Heterocapsa pygmea</t>
  </si>
  <si>
    <t>Alexandrium tamarense</t>
  </si>
  <si>
    <t>Prorocentrum micans</t>
  </si>
  <si>
    <t>Teleaulax sp.</t>
  </si>
  <si>
    <t>Prorocentrum minimum</t>
  </si>
  <si>
    <t>Bodo designis</t>
  </si>
  <si>
    <t>Hymenomonas carterae</t>
  </si>
  <si>
    <t>Peridinium bipes</t>
  </si>
  <si>
    <t>Gonyaulax polyedra</t>
  </si>
  <si>
    <t>Crithidia deanei</t>
  </si>
  <si>
    <t>(Gadelha et al., 2007)</t>
  </si>
  <si>
    <t>Peridinium foliaceum</t>
  </si>
  <si>
    <t>(Kamykowski et al., 1992)</t>
  </si>
  <si>
    <t>Heterocapsa triquetra</t>
  </si>
  <si>
    <t>Peridinium (Protoperidinium) subinerme</t>
  </si>
  <si>
    <t>Amphidinium carterae</t>
  </si>
  <si>
    <t>Prymnesium polylepis</t>
  </si>
  <si>
    <t>(Dölger et al., 2017)</t>
  </si>
  <si>
    <t>Crithidia fasciculata</t>
  </si>
  <si>
    <t>Chlamydomonas sp.</t>
  </si>
  <si>
    <t>Gymnodinium sanguineum (splendens)</t>
  </si>
  <si>
    <t>Gyrodinium aureolum</t>
  </si>
  <si>
    <t>Polytoma uvella</t>
  </si>
  <si>
    <t>Rhabdomonas spiralis</t>
  </si>
  <si>
    <t>(Holwill, 1975)</t>
  </si>
  <si>
    <t>Gyrodinium dorsum (uni-flagellated)</t>
  </si>
  <si>
    <t>(Hand and Schmidt, 1975)</t>
  </si>
  <si>
    <t>Prymnesium parvum</t>
  </si>
  <si>
    <t>Olisthodiscus luteus</t>
  </si>
  <si>
    <t>raphidophyceae</t>
  </si>
  <si>
    <t>Hemidinium nasutum</t>
  </si>
  <si>
    <t>Chilomonas paramecium</t>
  </si>
  <si>
    <t>Dinophysis ovum</t>
  </si>
  <si>
    <t>Brachiomonas submarina</t>
  </si>
  <si>
    <t>Scrippsiella trochoidea</t>
  </si>
  <si>
    <t>Protoperidinium depressum</t>
  </si>
  <si>
    <t>Peridinium (Protoperidinium) ovatum</t>
  </si>
  <si>
    <t>Menoidium cultellus</t>
  </si>
  <si>
    <t>euglenida (eugl.)</t>
  </si>
  <si>
    <t>Peridinium (Protoperidinium) claudicans</t>
  </si>
  <si>
    <t>Leishmania major</t>
  </si>
  <si>
    <t>Peridinium (Protoperidinium) pentagonum</t>
  </si>
  <si>
    <t>Eutreptiella sp. R</t>
  </si>
  <si>
    <t>euglenida</t>
  </si>
  <si>
    <t>Alexandrium ostenfeldii</t>
  </si>
  <si>
    <t>Peridinium cinctum</t>
  </si>
  <si>
    <t>Spumella sp.</t>
  </si>
  <si>
    <t>Euglena gracilis</t>
  </si>
  <si>
    <t>Giardia lamblia</t>
  </si>
  <si>
    <t>srcm.</t>
  </si>
  <si>
    <t>zoomastigophora</t>
  </si>
  <si>
    <t>Peridinium trochoideum</t>
  </si>
  <si>
    <t>Amphidinium klebsi</t>
  </si>
  <si>
    <t>Menoidium incurvum</t>
  </si>
  <si>
    <t>Ceratium furca</t>
  </si>
  <si>
    <t>Protoperidinium granii (Ostf.) Balech</t>
  </si>
  <si>
    <t>Ceratium cornutum</t>
  </si>
  <si>
    <t>Euglena viridis</t>
  </si>
  <si>
    <t>Amphidinium britannicum</t>
  </si>
  <si>
    <t>Trypanosoma vivax</t>
  </si>
  <si>
    <t>(Bargul et al., 2016)</t>
  </si>
  <si>
    <t>Trypanosoma brucei</t>
  </si>
  <si>
    <t>(Rodríguez et al., 2009)</t>
  </si>
  <si>
    <t>Peridinium (Protoperidinium) crassipes</t>
  </si>
  <si>
    <t>Pyramimonas amylifera</t>
  </si>
  <si>
    <t>Ceratium tripos</t>
  </si>
  <si>
    <t>Ceratium longipes</t>
  </si>
  <si>
    <t>Trypanosoma evansi</t>
  </si>
  <si>
    <t>Ceratium hirundinella</t>
  </si>
  <si>
    <t>Trypanosoma congolense</t>
  </si>
  <si>
    <t>Ceratium fusus</t>
  </si>
  <si>
    <t>Peranema trichophorum</t>
  </si>
  <si>
    <t>euglenida (heteronematales)</t>
  </si>
  <si>
    <t>Ceratium lineatus</t>
  </si>
  <si>
    <t>Ceratium macroceros</t>
  </si>
  <si>
    <t>Ceratium horridum</t>
  </si>
  <si>
    <r>
      <t xml:space="preserve">Pseudotontonia </t>
    </r>
    <r>
      <rPr>
        <sz val="10"/>
        <color rgb="FF212121"/>
        <rFont val="Arial"/>
        <family val="2"/>
      </rPr>
      <t>sp.</t>
    </r>
  </si>
  <si>
    <r>
      <t xml:space="preserve">Tontonia </t>
    </r>
    <r>
      <rPr>
        <sz val="10"/>
        <color rgb="FF212121"/>
        <rFont val="Arial"/>
        <family val="2"/>
      </rPr>
      <t>sp.</t>
    </r>
  </si>
  <si>
    <r>
      <t>Strobilidium</t>
    </r>
    <r>
      <rPr>
        <sz val="10"/>
        <color rgb="FF212121"/>
        <rFont val="Arial"/>
        <family val="2"/>
      </rPr>
      <t xml:space="preserve"> sp.</t>
    </r>
  </si>
  <si>
    <t>Reported</t>
  </si>
  <si>
    <t>measured</t>
  </si>
  <si>
    <t>reported</t>
  </si>
  <si>
    <t>https://www.ccap.ac.uk/catalogue/strain-1614-2</t>
  </si>
  <si>
    <t>cell length [um]</t>
  </si>
  <si>
    <t>cell diameter [um]</t>
  </si>
  <si>
    <t>cilia length [um]</t>
  </si>
  <si>
    <t>measurement method (reported or self-measured)</t>
  </si>
  <si>
    <t>cilia length/(length/2)</t>
  </si>
  <si>
    <t>Label</t>
  </si>
  <si>
    <t>Zoothamnium pelagicum</t>
  </si>
  <si>
    <t>Mesodinium pulex</t>
  </si>
  <si>
    <t>ciliates, elastic jumper</t>
  </si>
  <si>
    <t>ciliates, hydrodynamic jumper</t>
  </si>
  <si>
    <t>ciliates, swimmer</t>
  </si>
  <si>
    <t>ciliates, walker</t>
  </si>
  <si>
    <t>eMMPs</t>
  </si>
  <si>
    <t>Prokaryotes</t>
  </si>
  <si>
    <r>
      <t xml:space="preserve">Candidatus </t>
    </r>
    <r>
      <rPr>
        <i/>
        <sz val="10"/>
        <color theme="1"/>
        <rFont val="Arial"/>
        <family val="2"/>
      </rPr>
      <t>Ovobacter propellens</t>
    </r>
  </si>
  <si>
    <t>Thiovulum majus</t>
  </si>
  <si>
    <t>Bdellovibrio bacteriovorus</t>
  </si>
  <si>
    <t>Escherichia coli</t>
  </si>
  <si>
    <t>Halobacterium salinarum</t>
  </si>
  <si>
    <t>Methanococcus voltae</t>
  </si>
  <si>
    <t>Methanococcus maripaludus</t>
  </si>
  <si>
    <t>Methanocaldococcus jannaschii</t>
  </si>
  <si>
    <t>Methanocaldococcus villosus</t>
  </si>
  <si>
    <t>Pyrococcus furiosus</t>
  </si>
  <si>
    <t>Sulfolobus acidocaldarius</t>
  </si>
  <si>
    <t>Salmonella enterica serovar Typhimurium</t>
  </si>
  <si>
    <r>
      <t xml:space="preserve">Vibrio cholerae </t>
    </r>
    <r>
      <rPr>
        <sz val="10"/>
        <color theme="1"/>
        <rFont val="Arial"/>
        <family val="2"/>
      </rPr>
      <t>non-O1</t>
    </r>
  </si>
  <si>
    <t>Pseudomonas aeruginosa</t>
  </si>
  <si>
    <t>Bacillus subtilis</t>
  </si>
  <si>
    <t>Vibrio alginolyticus</t>
  </si>
  <si>
    <t>Caulobacter crescentus</t>
  </si>
  <si>
    <t>Helicobacter pylori</t>
  </si>
  <si>
    <t>Campylobacter jejuni</t>
  </si>
  <si>
    <t>Brachyspira pilosicoli</t>
  </si>
  <si>
    <t>Spirochaeta aurantia</t>
  </si>
  <si>
    <t>Borrelia burgdorferi</t>
  </si>
  <si>
    <t>Trepnema denticola</t>
  </si>
  <si>
    <t>Treponema pallidum</t>
  </si>
  <si>
    <t>Leptospira biflexa</t>
  </si>
  <si>
    <t>prokaryotes</t>
  </si>
  <si>
    <r>
      <t>Magnetococcus marinus</t>
    </r>
    <r>
      <rPr>
        <sz val="10"/>
        <color rgb="FF212121"/>
        <rFont val="Arial"/>
        <family val="2"/>
      </rPr>
      <t xml:space="preserve"> (MC-1)</t>
    </r>
  </si>
  <si>
    <t>Yihiella yeosuensis</t>
  </si>
  <si>
    <t>Biecheleriopsis adriatica</t>
  </si>
  <si>
    <t>Ansanella granifera</t>
  </si>
  <si>
    <t>Cochlodinium polykrikoides</t>
  </si>
  <si>
    <t>flagellates, hydrodynamic jumper</t>
  </si>
  <si>
    <t>flagellates, swimmers</t>
  </si>
  <si>
    <t>flagellates, elastic jumper</t>
  </si>
  <si>
    <r>
      <t>Chrysochromulina</t>
    </r>
    <r>
      <rPr>
        <sz val="10"/>
        <color rgb="FF1F1F1F"/>
        <rFont val="Arial"/>
        <family val="2"/>
      </rPr>
      <t xml:space="preserve"> sp.</t>
    </r>
  </si>
  <si>
    <t>(Herzog &amp; Wirth 2012)</t>
  </si>
  <si>
    <t>(Ueyama et al., 2005)</t>
  </si>
  <si>
    <t>(Bente et al., 2020)</t>
  </si>
  <si>
    <t>ellipsoidal MMPs</t>
  </si>
  <si>
    <t>(Qian et al., 2019)</t>
  </si>
  <si>
    <t>(Fenchel and Thar, 2006)</t>
  </si>
  <si>
    <t>(Gemmell, Jiang and Buskey, 2015)</t>
  </si>
  <si>
    <t>(Gomez, 2017)</t>
  </si>
  <si>
    <t>(Agua, 2009)</t>
  </si>
  <si>
    <t>(Fenchel, 1994)</t>
  </si>
  <si>
    <t>(Lambert et al., 2006)</t>
  </si>
  <si>
    <t>(Nakamura et al., 2009)</t>
  </si>
  <si>
    <t>(Shigematsu et al., 1995)</t>
  </si>
  <si>
    <t>(Ito et al., 2005)</t>
  </si>
  <si>
    <t>(Atsumi et al., 1996)</t>
  </si>
  <si>
    <t>(Faulds-Pain et al., 2011)</t>
  </si>
  <si>
    <t>(Celli et al., 2009)</t>
  </si>
  <si>
    <t>(Apel et al., 2012)</t>
  </si>
  <si>
    <t>(Nakamura et al., 2006)</t>
  </si>
  <si>
    <t>Additional References</t>
  </si>
  <si>
    <t>(Breznak and Canale-Parola, 1975)</t>
  </si>
  <si>
    <t>(Harman et al., 2012)</t>
  </si>
  <si>
    <t>(Ruby and Charon, 1998)</t>
  </si>
  <si>
    <t>(Greenberg and Canale-Parola, 1977)</t>
  </si>
  <si>
    <t>(Harman et al., 2013)</t>
  </si>
  <si>
    <t>(Nakamura et al., 2014)</t>
  </si>
  <si>
    <t>(Jung el al., 2014)</t>
  </si>
  <si>
    <t>(Miyasaka et al., 1998)</t>
  </si>
  <si>
    <t>Additional References - 1</t>
  </si>
  <si>
    <t>Additional References - 2</t>
  </si>
  <si>
    <t>(Fenchel and Jonsson, 1988)</t>
  </si>
  <si>
    <t>(Jakobsen, 2001)</t>
  </si>
  <si>
    <t>(Nomura et al., 2019)</t>
  </si>
  <si>
    <t>(Jang et al., 2017)</t>
  </si>
  <si>
    <t>(Jang et al., 2015)</t>
  </si>
  <si>
    <t>(Lee et al., 2014)</t>
  </si>
  <si>
    <t>(Metzner, 1929)</t>
  </si>
  <si>
    <t>(Crawford and Lindholm, 1997)</t>
  </si>
  <si>
    <t>(Riisgård and Larsen, 2009)</t>
  </si>
  <si>
    <t>(Jonsson and Tiselius, 1990)</t>
  </si>
  <si>
    <t>(Brennen and Winet, 1977)</t>
  </si>
  <si>
    <t>(Lowndes, 1941)</t>
  </si>
  <si>
    <t>Additional References - 3</t>
  </si>
  <si>
    <t>(Fenchel and Hansen, 2006)</t>
  </si>
  <si>
    <t>Additional References - 4</t>
  </si>
  <si>
    <t>(Roberts, 1981)</t>
  </si>
  <si>
    <t>(Jahn and Hendrix, 1969)</t>
  </si>
  <si>
    <t>(Jahn and Bovee, 1967)</t>
  </si>
  <si>
    <t>(Blake, 1975)</t>
  </si>
  <si>
    <t>(Jeong et al., 2017)</t>
  </si>
  <si>
    <t>(Ricci et al., 1997)</t>
  </si>
  <si>
    <t>(Wang et al., 2008)</t>
  </si>
  <si>
    <t>(Sleigh and Aiello, 1972)</t>
  </si>
  <si>
    <t>(Sleigh, 1968)</t>
  </si>
  <si>
    <t>(Horstmann, 1980)</t>
  </si>
  <si>
    <t>(Kamykowski and Zentara, 1977)</t>
  </si>
  <si>
    <t>(Guasto et al., 2010)</t>
  </si>
  <si>
    <t>(Gittleson and Noble, 1973)</t>
  </si>
  <si>
    <t>(Gittleson and Jahn, 1968)</t>
  </si>
  <si>
    <t>(Hand et al., 1965)</t>
  </si>
  <si>
    <t>(Jahn and Fonseca, 1963)</t>
  </si>
  <si>
    <t>(Boakes et al., 2011)</t>
  </si>
  <si>
    <t>(Votta et al., 1971)</t>
  </si>
  <si>
    <t>(Lowndes, 1944)</t>
  </si>
  <si>
    <t>(Lee, 1954)</t>
  </si>
  <si>
    <t>(Chen et al., 2012)</t>
  </si>
  <si>
    <t>(Campanati et al., 2002)</t>
  </si>
  <si>
    <t>(Lenaghan et al., 2011)</t>
  </si>
  <si>
    <t>(Grim, 1987)</t>
  </si>
  <si>
    <t>(Kubo et al., 2023)</t>
  </si>
  <si>
    <t>EOL ID - 27474216</t>
  </si>
  <si>
    <t>(Kuhlmann et al., 1997)</t>
  </si>
  <si>
    <t>(Kwon and Shin, 2006)</t>
  </si>
  <si>
    <t>(Melekhin et al., 2022)</t>
  </si>
  <si>
    <t>(Berdan, 2021)</t>
  </si>
  <si>
    <t>(Sarkar, 2014)</t>
  </si>
  <si>
    <t>(Chakraborty, 1967)</t>
  </si>
  <si>
    <t>(Rosati et al., 1988)</t>
  </si>
  <si>
    <t>(Kim et al., 2010)</t>
  </si>
  <si>
    <t>(Fu et al., 2022)</t>
  </si>
  <si>
    <t>(Kim and Jung, 2017)</t>
  </si>
  <si>
    <t>(Flemming et al., 2020)</t>
  </si>
  <si>
    <t>(Zheng et al., 2015)</t>
  </si>
  <si>
    <t>(Zhang et al., 2010)</t>
  </si>
  <si>
    <t>(Song and Wilbert, 2002)</t>
  </si>
  <si>
    <t>EOL ID - 27475033</t>
  </si>
  <si>
    <t>EOL ID - 27475602</t>
  </si>
  <si>
    <t>EOL ID - 1a4ae2e4488e42ebcf37a5aa18a0e3bf</t>
  </si>
  <si>
    <t>EOL ID - 27477244</t>
  </si>
  <si>
    <t>(Plewka, 2015)</t>
  </si>
  <si>
    <t>PlanktonNet Image 63181</t>
  </si>
  <si>
    <t>Observatoire Oceanologique de Villefranche sur Mer, 2014</t>
  </si>
  <si>
    <t>Organism</t>
  </si>
  <si>
    <t>Ref (easy read)</t>
  </si>
  <si>
    <t>body length (m)</t>
  </si>
  <si>
    <t>body width (m)</t>
  </si>
  <si>
    <t>velocity (m/s)</t>
  </si>
  <si>
    <t>velocity/BL</t>
  </si>
  <si>
    <t>3T3</t>
  </si>
  <si>
    <t>neutrophil</t>
  </si>
  <si>
    <t>Toxoplasma gondii</t>
  </si>
  <si>
    <t>diatom jerking</t>
  </si>
  <si>
    <t>Tetrahymena thermophilia</t>
  </si>
  <si>
    <t>Lacrymaria olor hunting</t>
  </si>
  <si>
    <t>Vorticella convallaria</t>
  </si>
  <si>
    <t>Stentor coeruleus</t>
  </si>
  <si>
    <t>nematocyst firing</t>
  </si>
  <si>
    <t>Reynolds number</t>
  </si>
  <si>
    <t>surface-based motility</t>
  </si>
  <si>
    <t>cell protrusion/extrusome</t>
  </si>
  <si>
    <t>contraction without translocation</t>
  </si>
  <si>
    <t>ciliates, regular hydrodynamic swimmer</t>
  </si>
  <si>
    <t>(Gordon, 1987)</t>
  </si>
  <si>
    <t>(Nuchter el al., 2006)</t>
  </si>
  <si>
    <r>
      <rPr>
        <i/>
        <sz val="10"/>
        <color theme="1"/>
        <rFont val="Arial"/>
        <family val="2"/>
      </rPr>
      <t>Anncaliia algerae</t>
    </r>
    <r>
      <rPr>
        <sz val="10"/>
        <color theme="1"/>
        <rFont val="Arial"/>
        <family val="2"/>
      </rPr>
      <t xml:space="preserve"> polar tube firing</t>
    </r>
  </si>
  <si>
    <r>
      <rPr>
        <i/>
        <sz val="10"/>
        <color theme="1"/>
        <rFont val="Arial"/>
        <family val="2"/>
      </rPr>
      <t>Ochromonas tubercularis</t>
    </r>
    <r>
      <rPr>
        <sz val="10"/>
        <color theme="1"/>
        <rFont val="Arial"/>
        <family val="2"/>
      </rPr>
      <t xml:space="preserve"> discobolocyst firing</t>
    </r>
  </si>
  <si>
    <r>
      <rPr>
        <i/>
        <sz val="10"/>
        <color theme="1"/>
        <rFont val="Arial"/>
        <family val="2"/>
      </rPr>
      <t>Ochromonas tubercularis</t>
    </r>
    <r>
      <rPr>
        <sz val="10"/>
        <color theme="1"/>
        <rFont val="Arial"/>
        <family val="2"/>
      </rPr>
      <t xml:space="preserve"> backward jump</t>
    </r>
  </si>
  <si>
    <r>
      <rPr>
        <i/>
        <sz val="10"/>
        <color theme="1"/>
        <rFont val="Arial"/>
        <family val="2"/>
      </rPr>
      <t>Paramecium</t>
    </r>
    <r>
      <rPr>
        <sz val="10"/>
        <color theme="1"/>
        <rFont val="Arial"/>
        <family val="2"/>
      </rPr>
      <t xml:space="preserve"> trichocyst</t>
    </r>
  </si>
  <si>
    <r>
      <rPr>
        <i/>
        <sz val="10"/>
        <color theme="1"/>
        <rFont val="Arial"/>
        <family val="2"/>
      </rPr>
      <t>Strobilidium</t>
    </r>
    <r>
      <rPr>
        <sz val="10"/>
        <color theme="1"/>
        <rFont val="Arial"/>
        <family val="2"/>
      </rPr>
      <t xml:space="preserve"> sp.</t>
    </r>
  </si>
  <si>
    <r>
      <rPr>
        <i/>
        <sz val="10"/>
        <color theme="1"/>
        <rFont val="Arial"/>
        <family val="2"/>
      </rPr>
      <t>Tontonia</t>
    </r>
    <r>
      <rPr>
        <sz val="10"/>
        <color theme="1"/>
        <rFont val="Arial"/>
        <family val="2"/>
      </rPr>
      <t xml:space="preserve"> sp.</t>
    </r>
  </si>
  <si>
    <r>
      <rPr>
        <i/>
        <sz val="10"/>
        <color theme="1"/>
        <rFont val="Arial"/>
        <family val="2"/>
      </rPr>
      <t>Zoothamnium pelagicum</t>
    </r>
    <r>
      <rPr>
        <sz val="10"/>
        <color theme="1"/>
        <rFont val="Arial"/>
        <family val="2"/>
      </rPr>
      <t>, jump</t>
    </r>
  </si>
  <si>
    <r>
      <rPr>
        <i/>
        <sz val="10"/>
        <color theme="1"/>
        <rFont val="Arial"/>
        <family val="2"/>
      </rPr>
      <t>Erythropsidinium</t>
    </r>
    <r>
      <rPr>
        <sz val="10"/>
        <color theme="1"/>
        <rFont val="Arial"/>
        <family val="2"/>
      </rPr>
      <t xml:space="preserve"> protrusion contraction</t>
    </r>
  </si>
  <si>
    <t>(Jaroenlak et al., 2020)</t>
  </si>
  <si>
    <t>(Echevarria et al., 2016)</t>
  </si>
  <si>
    <t>(Moriyama et al., 1998)</t>
  </si>
  <si>
    <t>(Newman, 1972)</t>
  </si>
  <si>
    <t>(Gomez, 2017a)</t>
  </si>
  <si>
    <t>(Gomez, 2017b)</t>
  </si>
  <si>
    <r>
      <rPr>
        <i/>
        <sz val="10"/>
        <color theme="1"/>
        <rFont val="Arial"/>
        <family val="2"/>
      </rPr>
      <t xml:space="preserve">Actinocoryne contractilis </t>
    </r>
    <r>
      <rPr>
        <sz val="10"/>
        <color theme="1"/>
        <rFont val="Arial"/>
        <family val="2"/>
      </rPr>
      <t>stalk contraction</t>
    </r>
  </si>
  <si>
    <r>
      <rPr>
        <i/>
        <sz val="10"/>
        <color theme="1"/>
        <rFont val="Arial"/>
        <family val="2"/>
      </rPr>
      <t xml:space="preserve">Favella </t>
    </r>
    <r>
      <rPr>
        <sz val="10"/>
        <color theme="1"/>
        <rFont val="Arial"/>
        <family val="2"/>
      </rPr>
      <t>sp. contraction</t>
    </r>
  </si>
  <si>
    <t>(Febvre-Chevalier, 1981)</t>
  </si>
  <si>
    <t>(Mathijssen et al., 2019)</t>
  </si>
  <si>
    <t>(Coyle et al., 2019)</t>
  </si>
  <si>
    <t>E. coli</t>
  </si>
  <si>
    <t>(Sabuncu et al., 2021)</t>
  </si>
  <si>
    <t>BNID 108382</t>
  </si>
  <si>
    <t>BNID 112247</t>
  </si>
  <si>
    <t>(Hakansson et al., 1999)</t>
  </si>
  <si>
    <t>BNID 108082</t>
  </si>
  <si>
    <t>acceleration (m/sec^2)</t>
  </si>
  <si>
    <t>a/BL (1/sec^2)</t>
  </si>
  <si>
    <t>transient Reynolds number</t>
  </si>
  <si>
    <t>acceleration time scale (sec)</t>
  </si>
  <si>
    <t>surrounding viscosity (Pa-sec)</t>
  </si>
  <si>
    <t>density (kg/m^3)</t>
  </si>
  <si>
    <t>Storeatula ejectisome</t>
  </si>
  <si>
    <t>Rhodomonas ejectisome cell body jump</t>
  </si>
  <si>
    <t>Chrysochromulina sp. cell body jump</t>
  </si>
  <si>
    <r>
      <rPr>
        <i/>
        <sz val="10"/>
        <color theme="1"/>
        <rFont val="Arial"/>
        <family val="2"/>
      </rPr>
      <t>Pseudotontonia</t>
    </r>
    <r>
      <rPr>
        <sz val="10"/>
        <color theme="1"/>
        <rFont val="Arial"/>
        <family val="2"/>
      </rPr>
      <t xml:space="preserve"> sp.</t>
    </r>
  </si>
  <si>
    <r>
      <rPr>
        <i/>
        <sz val="10"/>
        <color theme="1"/>
        <rFont val="Arial"/>
        <family val="2"/>
      </rPr>
      <t xml:space="preserve">Strobilidium </t>
    </r>
    <r>
      <rPr>
        <sz val="10"/>
        <color theme="1"/>
        <rFont val="Arial"/>
        <family val="2"/>
      </rPr>
      <t>sp.</t>
    </r>
  </si>
  <si>
    <r>
      <rPr>
        <i/>
        <sz val="10"/>
        <color theme="1"/>
        <rFont val="Arial"/>
        <family val="2"/>
      </rPr>
      <t>Lacrymaria olor</t>
    </r>
    <r>
      <rPr>
        <sz val="10"/>
        <color theme="1"/>
        <rFont val="Arial"/>
        <family val="2"/>
      </rPr>
      <t xml:space="preserve"> hunting</t>
    </r>
  </si>
  <si>
    <t>(Plattner, 2017)</t>
  </si>
  <si>
    <r>
      <rPr>
        <i/>
        <sz val="10"/>
        <color theme="1"/>
        <rFont val="Arial"/>
        <family val="2"/>
      </rPr>
      <t>Actinocoryne contractilis</t>
    </r>
    <r>
      <rPr>
        <sz val="10"/>
        <color theme="1"/>
        <rFont val="Arial"/>
        <family val="2"/>
      </rPr>
      <t xml:space="preserve"> stalk contraction</t>
    </r>
  </si>
  <si>
    <r>
      <rPr>
        <i/>
        <sz val="10"/>
        <color theme="1"/>
        <rFont val="Arial"/>
        <family val="2"/>
      </rPr>
      <t>Favella</t>
    </r>
    <r>
      <rPr>
        <sz val="10"/>
        <color theme="1"/>
        <rFont val="Arial"/>
        <family val="2"/>
      </rPr>
      <t xml:space="preserve"> sp. contraction</t>
    </r>
  </si>
  <si>
    <r>
      <t>diatom blinking (</t>
    </r>
    <r>
      <rPr>
        <i/>
        <sz val="10"/>
        <color theme="1"/>
        <rFont val="Arial"/>
        <family val="2"/>
      </rPr>
      <t>Coscinodiscus radiatus</t>
    </r>
    <r>
      <rPr>
        <sz val="10"/>
        <color theme="1"/>
        <rFont val="Arial"/>
        <family val="2"/>
      </rPr>
      <t>)</t>
    </r>
  </si>
  <si>
    <t>Behavior Phenotypes</t>
  </si>
  <si>
    <t>regular hydrodynamic swimmer</t>
  </si>
  <si>
    <t>elastic jumper</t>
  </si>
  <si>
    <t>(Chang et al., 2024)</t>
  </si>
  <si>
    <t>(Dassow et al., 2013)</t>
  </si>
  <si>
    <t>(Krishnamurthy et al., unpublished)</t>
  </si>
  <si>
    <t>d rho/ dt (kg/m^3/sec)</t>
  </si>
  <si>
    <t>Pyrocystis noctiluca</t>
  </si>
  <si>
    <t>yeast cell cycle</t>
  </si>
  <si>
    <t>L1210 cell (monocyte)</t>
  </si>
  <si>
    <t>(Du Clos et al., 2019)</t>
  </si>
  <si>
    <t>(Larson et al., 2023)</t>
  </si>
  <si>
    <t>(Manalis et al., 2010)</t>
  </si>
  <si>
    <t>(Son et al., 2015)</t>
  </si>
  <si>
    <t>volume expansion strain rate (1/sec)</t>
  </si>
  <si>
    <t>area strain rate (%/sec)</t>
  </si>
  <si>
    <t>platelets activation</t>
  </si>
  <si>
    <t>nematophagous fungus ring cell</t>
  </si>
  <si>
    <t>rat lung pneumocytes</t>
  </si>
  <si>
    <r>
      <rPr>
        <i/>
        <sz val="12"/>
        <color theme="1"/>
        <rFont val="Calibri"/>
        <family val="2"/>
        <scheme val="minor"/>
      </rPr>
      <t>Trichoplax adhaerens</t>
    </r>
    <r>
      <rPr>
        <sz val="12"/>
        <color theme="1"/>
        <rFont val="Calibri"/>
        <family val="2"/>
        <scheme val="minor"/>
      </rPr>
      <t xml:space="preserve"> dorsal epithelium</t>
    </r>
  </si>
  <si>
    <t>Lacrymaria olor</t>
  </si>
  <si>
    <t>(Flaum and Prakash, 2024)</t>
  </si>
  <si>
    <t>(Armon et al., 2018)</t>
  </si>
  <si>
    <t>(Lee et al., 2012)</t>
  </si>
  <si>
    <t>(Chen et al., 2023)</t>
  </si>
  <si>
    <t>astrocytes swelling</t>
  </si>
  <si>
    <t>neurtophils activation</t>
  </si>
  <si>
    <t>50% lethal rate in CHO cells</t>
  </si>
  <si>
    <t>acantharian ballooning</t>
  </si>
  <si>
    <t>Flaum et al., unpublished</t>
  </si>
  <si>
    <t>cnidarian nematocyst</t>
  </si>
  <si>
    <r>
      <rPr>
        <i/>
        <sz val="12"/>
        <color theme="1"/>
        <rFont val="Calibri"/>
        <family val="2"/>
        <scheme val="minor"/>
      </rPr>
      <t>Anncaliia algerae</t>
    </r>
    <r>
      <rPr>
        <sz val="12"/>
        <color theme="1"/>
        <rFont val="Calibri"/>
        <family val="2"/>
        <scheme val="minor"/>
      </rPr>
      <t xml:space="preserve"> posterior vacuole expansion</t>
    </r>
  </si>
  <si>
    <t>(Florence et al., 2012)</t>
  </si>
  <si>
    <t>(Inozemtsev et al., 2023)</t>
  </si>
  <si>
    <t>(Bozic et al., 2020)</t>
  </si>
  <si>
    <t>(Salzman et al., 1969)</t>
  </si>
  <si>
    <t>(Godknecht and Tardent, 1988)</t>
  </si>
  <si>
    <t>(Tschumperlin &amp; Margulies, 1999)</t>
  </si>
  <si>
    <t>Actuation time scale (sec)</t>
  </si>
  <si>
    <r>
      <rPr>
        <i/>
        <sz val="10"/>
        <color theme="1"/>
        <rFont val="Arial"/>
        <family val="2"/>
      </rPr>
      <t xml:space="preserve">Pseudotontonia </t>
    </r>
    <r>
      <rPr>
        <sz val="10"/>
        <color theme="1"/>
        <rFont val="Arial"/>
        <family val="2"/>
      </rPr>
      <t>sp.</t>
    </r>
  </si>
  <si>
    <t>Time scale (sec)</t>
  </si>
  <si>
    <t>dt in raw data (s)</t>
  </si>
  <si>
    <t>Re_T</t>
  </si>
  <si>
    <t>tau_0</t>
  </si>
  <si>
    <t>tau_0_corrected</t>
  </si>
  <si>
    <t>Ac</t>
  </si>
  <si>
    <t>Ac_corrected</t>
  </si>
  <si>
    <t>Fungal spores discharge in air</t>
  </si>
  <si>
    <t>(Yafetto et al. 2008)</t>
  </si>
  <si>
    <t>Ascobolus immersus</t>
  </si>
  <si>
    <t>Podospora anserina</t>
  </si>
  <si>
    <t>Pilobolus kleinii</t>
  </si>
  <si>
    <t>Basidiobolus ranarum</t>
  </si>
  <si>
    <t>tau (s)</t>
  </si>
  <si>
    <t>1/24*(dt/tau)^2</t>
  </si>
  <si>
    <t>1/6*(dt/tau)^2</t>
  </si>
  <si>
    <t>fungal spore discharge in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</si>
</sst>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212121"/>
      <name val="Arial"/>
      <family val="2"/>
    </font>
    <font>
      <sz val="10"/>
      <color rgb="FF212121"/>
      <name val="Arial"/>
      <family val="2"/>
    </font>
    <font>
      <u/>
      <sz val="12"/>
      <color theme="10"/>
      <name val="Calibri"/>
      <family val="2"/>
      <scheme val="minor"/>
    </font>
    <font>
      <i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212121"/>
      <name val="Arial"/>
      <family val="2"/>
    </font>
    <font>
      <u/>
      <sz val="10"/>
      <color theme="10"/>
      <name val="Arial"/>
      <family val="2"/>
    </font>
    <font>
      <i/>
      <sz val="10"/>
      <color rgb="FF1F1F1F"/>
      <name val="Arial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i/>
      <sz val="12"/>
      <color theme="1"/>
      <name val="Calibri"/>
      <family val="2"/>
      <scheme val="minor"/>
    </font>
    <font>
      <sz val="10"/>
      <color rgb="FFC0000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4" fillId="0" borderId="0" xfId="1"/>
    <xf numFmtId="11" fontId="1" fillId="0" borderId="0" xfId="0" applyNumberFormat="1" applyFont="1"/>
    <xf numFmtId="0" fontId="5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8" fillId="0" borderId="0" xfId="1" applyFont="1"/>
    <xf numFmtId="0" fontId="6" fillId="0" borderId="0" xfId="0" applyFont="1"/>
    <xf numFmtId="0" fontId="1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11" fillId="0" borderId="2" xfId="0" applyFont="1" applyBorder="1"/>
    <xf numFmtId="0" fontId="6" fillId="0" borderId="2" xfId="0" applyFont="1" applyBorder="1"/>
    <xf numFmtId="2" fontId="0" fillId="0" borderId="1" xfId="0" applyNumberFormat="1" applyBorder="1"/>
    <xf numFmtId="0" fontId="1" fillId="0" borderId="4" xfId="0" applyFont="1" applyBorder="1"/>
    <xf numFmtId="0" fontId="0" fillId="0" borderId="4" xfId="0" applyBorder="1"/>
    <xf numFmtId="0" fontId="0" fillId="0" borderId="2" xfId="0" applyBorder="1"/>
    <xf numFmtId="0" fontId="7" fillId="2" borderId="3" xfId="0" applyFont="1" applyFill="1" applyBorder="1" applyAlignment="1">
      <alignment wrapText="1"/>
    </xf>
    <xf numFmtId="0" fontId="11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164" fontId="7" fillId="2" borderId="2" xfId="0" applyNumberFormat="1" applyFont="1" applyFill="1" applyBorder="1" applyAlignment="1">
      <alignment wrapText="1"/>
    </xf>
    <xf numFmtId="2" fontId="11" fillId="2" borderId="3" xfId="0" applyNumberFormat="1" applyFont="1" applyFill="1" applyBorder="1" applyAlignment="1">
      <alignment wrapText="1"/>
    </xf>
    <xf numFmtId="165" fontId="11" fillId="2" borderId="2" xfId="0" applyNumberFormat="1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64" fontId="3" fillId="0" borderId="0" xfId="0" applyNumberFormat="1" applyFont="1" applyAlignment="1">
      <alignment wrapText="1"/>
    </xf>
    <xf numFmtId="2" fontId="1" fillId="0" borderId="1" xfId="0" applyNumberFormat="1" applyFont="1" applyBorder="1" applyAlignment="1">
      <alignment wrapText="1"/>
    </xf>
    <xf numFmtId="165" fontId="1" fillId="0" borderId="0" xfId="0" applyNumberFormat="1" applyFont="1" applyAlignment="1">
      <alignment wrapText="1"/>
    </xf>
    <xf numFmtId="0" fontId="1" fillId="0" borderId="1" xfId="0" applyFont="1" applyBorder="1" applyAlignment="1">
      <alignment wrapText="1"/>
    </xf>
    <xf numFmtId="164" fontId="1" fillId="0" borderId="0" xfId="0" applyNumberFormat="1" applyFont="1" applyAlignment="1">
      <alignment wrapText="1"/>
    </xf>
    <xf numFmtId="0" fontId="8" fillId="0" borderId="0" xfId="1" applyFont="1" applyAlignment="1">
      <alignment wrapText="1"/>
    </xf>
    <xf numFmtId="0" fontId="9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2" fontId="1" fillId="0" borderId="5" xfId="0" applyNumberFormat="1" applyFont="1" applyBorder="1" applyAlignment="1">
      <alignment wrapText="1"/>
    </xf>
    <xf numFmtId="165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8" fillId="0" borderId="4" xfId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2" fontId="1" fillId="0" borderId="3" xfId="0" applyNumberFormat="1" applyFont="1" applyBorder="1" applyAlignment="1">
      <alignment wrapText="1"/>
    </xf>
    <xf numFmtId="0" fontId="8" fillId="0" borderId="2" xfId="1" applyFont="1" applyBorder="1" applyAlignment="1">
      <alignment wrapText="1"/>
    </xf>
    <xf numFmtId="165" fontId="1" fillId="0" borderId="2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  <xf numFmtId="11" fontId="0" fillId="0" borderId="0" xfId="0" applyNumberFormat="1"/>
    <xf numFmtId="0" fontId="12" fillId="0" borderId="0" xfId="0" applyFont="1"/>
    <xf numFmtId="0" fontId="10" fillId="0" borderId="0" xfId="0" applyFont="1"/>
    <xf numFmtId="0" fontId="13" fillId="0" borderId="0" xfId="0" applyFont="1"/>
    <xf numFmtId="0" fontId="11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1" fillId="3" borderId="0" xfId="0" applyFont="1" applyFill="1"/>
    <xf numFmtId="11" fontId="15" fillId="0" borderId="0" xfId="0" applyNumberFormat="1" applyFont="1"/>
    <xf numFmtId="0" fontId="15" fillId="0" borderId="0" xfId="0" applyFont="1"/>
    <xf numFmtId="11" fontId="17" fillId="0" borderId="0" xfId="0" applyNumberFormat="1" applyFont="1"/>
    <xf numFmtId="11" fontId="16" fillId="0" borderId="0" xfId="0" applyNumberFormat="1" applyFont="1"/>
    <xf numFmtId="0" fontId="16" fillId="0" borderId="0" xfId="0" applyFont="1"/>
    <xf numFmtId="11" fontId="1" fillId="0" borderId="0" xfId="0" applyNumberFormat="1" applyFont="1" applyFill="1"/>
    <xf numFmtId="0" fontId="1" fillId="0" borderId="0" xfId="0" applyFont="1" applyFill="1"/>
    <xf numFmtId="11" fontId="0" fillId="0" borderId="0" xfId="0" applyNumberFormat="1" applyFill="1"/>
    <xf numFmtId="11" fontId="15" fillId="0" borderId="0" xfId="0" applyNumberFormat="1" applyFont="1" applyFill="1"/>
    <xf numFmtId="0" fontId="15" fillId="0" borderId="0" xfId="0" applyFont="1" applyFill="1"/>
    <xf numFmtId="11" fontId="16" fillId="0" borderId="0" xfId="0" applyNumberFormat="1" applyFont="1" applyFill="1"/>
    <xf numFmtId="0" fontId="0" fillId="0" borderId="0" xfId="0" applyFill="1"/>
    <xf numFmtId="0" fontId="14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1434461004700711" TargetMode="External"/><Relationship Id="rId299" Type="http://schemas.openxmlformats.org/officeDocument/2006/relationships/hyperlink" Target="https://link.springer.com/article/10.1007/s00442-006-0385-4" TargetMode="External"/><Relationship Id="rId21" Type="http://schemas.openxmlformats.org/officeDocument/2006/relationships/hyperlink" Target="https://www.sciencedirect.com/science/article/pii/S0044523104700820" TargetMode="External"/><Relationship Id="rId63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59" Type="http://schemas.openxmlformats.org/officeDocument/2006/relationships/hyperlink" Target="https://www.ingentaconnect.com/content/umrsmas/bullmar/1993/00000053/00000001/art00004" TargetMode="External"/><Relationship Id="rId324" Type="http://schemas.openxmlformats.org/officeDocument/2006/relationships/hyperlink" Target="https://onlinelibrary.wiley.com/doi/10.1111/j.1550-7408.1975.tb05217.x" TargetMode="External"/><Relationship Id="rId170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226" Type="http://schemas.openxmlformats.org/officeDocument/2006/relationships/hyperlink" Target="https://link.springer.com/article/10.1007/BF01282292" TargetMode="External"/><Relationship Id="rId268" Type="http://schemas.openxmlformats.org/officeDocument/2006/relationships/hyperlink" Target="https://link.springer.com/article/10.1007/s004970050096" TargetMode="External"/><Relationship Id="rId32" Type="http://schemas.openxmlformats.org/officeDocument/2006/relationships/hyperlink" Target="https://journals.asm.org/doi/10.1128/aem.06723-11" TargetMode="External"/><Relationship Id="rId74" Type="http://schemas.openxmlformats.org/officeDocument/2006/relationships/hyperlink" Target="https://royalsocietypublishing.org/doi/10.1098/rspb.2015.0770" TargetMode="External"/><Relationship Id="rId128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335" Type="http://schemas.openxmlformats.org/officeDocument/2006/relationships/hyperlink" Target="https://pubmed.ncbi.nlm.nih.gov/19878405/" TargetMode="External"/><Relationship Id="rId5" Type="http://schemas.openxmlformats.org/officeDocument/2006/relationships/hyperlink" Target="http://gallery.obs-vlfr.fr/gallery2/v/Aquaparadox/Plankton-Protists/nanobalanion96xapril1ptb.jpg.html?g2_imageViewsIndex=1" TargetMode="External"/><Relationship Id="rId181" Type="http://schemas.openxmlformats.org/officeDocument/2006/relationships/hyperlink" Target="https://www.tandfonline.com/doi/full/10.1080/17451000902729704" TargetMode="External"/><Relationship Id="rId237" Type="http://schemas.openxmlformats.org/officeDocument/2006/relationships/hyperlink" Target="https://www.annualreviews.org/content/journals/10.1146/annurev.fl.09.010177.002011" TargetMode="External"/><Relationship Id="rId279" Type="http://schemas.openxmlformats.org/officeDocument/2006/relationships/hyperlink" Target="https://www.jstor.org/stable/3224220" TargetMode="External"/><Relationship Id="rId43" Type="http://schemas.openxmlformats.org/officeDocument/2006/relationships/hyperlink" Target="https://onlinelibrary.wiley.com/doi/10.1002/jez.1400560404" TargetMode="External"/><Relationship Id="rId139" Type="http://schemas.openxmlformats.org/officeDocument/2006/relationships/hyperlink" Target="https://www.ingentaconnect.com/content/umrsmas/bullmar/1993/00000053/00000001/art00004" TargetMode="External"/><Relationship Id="rId290" Type="http://schemas.openxmlformats.org/officeDocument/2006/relationships/hyperlink" Target="https://link.springer.com/article/10.1007/BF00347287" TargetMode="External"/><Relationship Id="rId304" Type="http://schemas.openxmlformats.org/officeDocument/2006/relationships/hyperlink" Target="https://link.springer.com/article/10.1007/BF00401099" TargetMode="External"/><Relationship Id="rId85" Type="http://schemas.openxmlformats.org/officeDocument/2006/relationships/hyperlink" Target="https://pubmed.ncbi.nlm.nih.gov/21441504/" TargetMode="External"/><Relationship Id="rId150" Type="http://schemas.openxmlformats.org/officeDocument/2006/relationships/hyperlink" Target="https://onlinelibrary.wiley.com/doi/10.1002/jez.1400560404" TargetMode="External"/><Relationship Id="rId192" Type="http://schemas.openxmlformats.org/officeDocument/2006/relationships/hyperlink" Target="https://link.springer.com/article/10.1007/BF00401099" TargetMode="External"/><Relationship Id="rId206" Type="http://schemas.openxmlformats.org/officeDocument/2006/relationships/hyperlink" Target="https://www.jstor.org/stable/3225224" TargetMode="External"/><Relationship Id="rId248" Type="http://schemas.openxmlformats.org/officeDocument/2006/relationships/hyperlink" Target="https://www.jstor.org/stable/3225224" TargetMode="External"/><Relationship Id="rId12" Type="http://schemas.openxmlformats.org/officeDocument/2006/relationships/hyperlink" Target="https://eol.org/media/10649478" TargetMode="External"/><Relationship Id="rId108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315" Type="http://schemas.openxmlformats.org/officeDocument/2006/relationships/hyperlink" Target="https://onlinelibrary.wiley.com/doi/10.1002/cm.20210" TargetMode="External"/><Relationship Id="rId54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96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61" Type="http://schemas.openxmlformats.org/officeDocument/2006/relationships/hyperlink" Target="https://www.int-res.com/articles/meps/214/m214p067.pdf" TargetMode="External"/><Relationship Id="rId217" Type="http://schemas.openxmlformats.org/officeDocument/2006/relationships/hyperlink" Target="https://www.annualreviews.org/content/journals/10.1146/annurev.fl.09.010177.002011" TargetMode="External"/><Relationship Id="rId259" Type="http://schemas.openxmlformats.org/officeDocument/2006/relationships/hyperlink" Target="https://scholar.google.com/scholar_lookup?title=The+movement+of+water+by+cilia&amp;author=Sleigh+MA&amp;author=Aiello+E&amp;publication_year=1972&amp;journal=Archiv+f%C3%BCr+Protistenkunde&amp;volume=50&amp;pages=pp.+219%E2%80%93274" TargetMode="External"/><Relationship Id="rId23" Type="http://schemas.openxmlformats.org/officeDocument/2006/relationships/hyperlink" Target="https://royalsocietypublishing.org/doi/10.1098/rspb.2015.0770" TargetMode="External"/><Relationship Id="rId119" Type="http://schemas.openxmlformats.org/officeDocument/2006/relationships/hyperlink" Target="https://link.springer.com/article/10.1007/BF00401099" TargetMode="External"/><Relationship Id="rId270" Type="http://schemas.openxmlformats.org/officeDocument/2006/relationships/hyperlink" Target="https://onlinelibrary.wiley.com/doi/10.1111/j.1529-8817.1974.tb02743.x" TargetMode="External"/><Relationship Id="rId326" Type="http://schemas.openxmlformats.org/officeDocument/2006/relationships/hyperlink" Target="https://www.sciencedirect.com/science/article/pii/B9780080118468500050" TargetMode="External"/><Relationship Id="rId65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30" Type="http://schemas.openxmlformats.org/officeDocument/2006/relationships/hyperlink" Target="https://link.springer.com/article/10.1007/BF01282292" TargetMode="External"/><Relationship Id="rId172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228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81" Type="http://schemas.openxmlformats.org/officeDocument/2006/relationships/hyperlink" Target="https://www.tandfonline.com/doi/full/10.2216/04-59.1" TargetMode="External"/><Relationship Id="rId337" Type="http://schemas.openxmlformats.org/officeDocument/2006/relationships/hyperlink" Target="https://koreascience.kr/article/JAKO201707464563951.pdf" TargetMode="External"/><Relationship Id="rId34" Type="http://schemas.openxmlformats.org/officeDocument/2006/relationships/hyperlink" Target="https://www.sciencedirect.com/science/article/pii/S0932473998800114" TargetMode="External"/><Relationship Id="rId76" Type="http://schemas.openxmlformats.org/officeDocument/2006/relationships/hyperlink" Target="https://royalsocietypublishing.org/doi/10.1098/rspb.2015.0770" TargetMode="External"/><Relationship Id="rId141" Type="http://schemas.openxmlformats.org/officeDocument/2006/relationships/hyperlink" Target="https://www.ingentaconnect.com/content/umrsmas/bullmar/1993/00000053/00000001/art00004" TargetMode="External"/><Relationship Id="rId7" Type="http://schemas.openxmlformats.org/officeDocument/2006/relationships/hyperlink" Target="https://www.sciencedirect.com/science/article/pii/S0932473997800077" TargetMode="External"/><Relationship Id="rId183" Type="http://schemas.openxmlformats.org/officeDocument/2006/relationships/hyperlink" Target="https://scholar.google.com/scholar_lookup?title=Ciliary+activity+and+metachronism+in+protozoa&amp;author=Machemer+H&amp;publication_year=1974&amp;pages=pp.+199%E2%80%93287" TargetMode="External"/><Relationship Id="rId239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Relationship Id="rId250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92" Type="http://schemas.openxmlformats.org/officeDocument/2006/relationships/hyperlink" Target="https://www.degruyter.com/document/doi/10.1515/botm.1966.9.1-2.15/html" TargetMode="External"/><Relationship Id="rId306" Type="http://schemas.openxmlformats.org/officeDocument/2006/relationships/hyperlink" Target="https://onlinelibrary.wiley.com/doi/10.1111/j.1469-185X.1982.tb00702.x" TargetMode="External"/><Relationship Id="rId45" Type="http://schemas.openxmlformats.org/officeDocument/2006/relationships/hyperlink" Target="https://onlinelibrary.wiley.com/doi/10.1002/jez.1400560404" TargetMode="External"/><Relationship Id="rId87" Type="http://schemas.openxmlformats.org/officeDocument/2006/relationships/hyperlink" Target="https://www.ncbi.nlm.nih.gov/pmc/articles/PMC3347078/" TargetMode="External"/><Relationship Id="rId110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152" Type="http://schemas.openxmlformats.org/officeDocument/2006/relationships/hyperlink" Target="https://www.ingentaconnect.com/content/umrsmas/bullmar/1993/00000053/00000001/art00004" TargetMode="External"/><Relationship Id="rId194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08" Type="http://schemas.openxmlformats.org/officeDocument/2006/relationships/hyperlink" Target="https://www.jstor.org/stable/3225224" TargetMode="External"/><Relationship Id="rId240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61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4" Type="http://schemas.openxmlformats.org/officeDocument/2006/relationships/hyperlink" Target="https://www.plingfactory.de/Science/Atlas/KennkartenProtista/01e-protista/e-Ciliata/e-source/Urocentrum%20turbo.html" TargetMode="External"/><Relationship Id="rId35" Type="http://schemas.openxmlformats.org/officeDocument/2006/relationships/hyperlink" Target="https://www.sciencedirect.com/science/article/pii/S0932473998800114" TargetMode="External"/><Relationship Id="rId56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77" Type="http://schemas.openxmlformats.org/officeDocument/2006/relationships/hyperlink" Target="https://www.sciencedirect.com/science/article/pii/S0932473916301602" TargetMode="External"/><Relationship Id="rId100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282" Type="http://schemas.openxmlformats.org/officeDocument/2006/relationships/hyperlink" Target="https://www.tandfonline.com/doi/full/10.2216/04-59.1" TargetMode="External"/><Relationship Id="rId317" Type="http://schemas.openxmlformats.org/officeDocument/2006/relationships/hyperlink" Target="https://onlinelibrary.wiley.com/doi/10.1002/cm.20210" TargetMode="External"/><Relationship Id="rId338" Type="http://schemas.openxmlformats.org/officeDocument/2006/relationships/hyperlink" Target="https://ejournals.eu/en/journal/acta-protozoologica/article/high-density-cultivation-of-the-marine-ciliate-uronema-marinum-ciliophora-oligohymenophorea-in-axenic-medium" TargetMode="External"/><Relationship Id="rId8" Type="http://schemas.openxmlformats.org/officeDocument/2006/relationships/hyperlink" Target="https://koreascience.kr/article/JAKO200629734089069.page" TargetMode="External"/><Relationship Id="rId98" Type="http://schemas.openxmlformats.org/officeDocument/2006/relationships/hyperlink" Target="https://onlinelibrary.wiley.com/doi/10.1002/jez.1400560404" TargetMode="External"/><Relationship Id="rId121" Type="http://schemas.openxmlformats.org/officeDocument/2006/relationships/hyperlink" Target="https://link.springer.com/article/10.1007/BF00401099" TargetMode="External"/><Relationship Id="rId142" Type="http://schemas.openxmlformats.org/officeDocument/2006/relationships/hyperlink" Target="https://www.ingentaconnect.com/content/umrsmas/bullmar/1993/00000053/00000001/art00004" TargetMode="External"/><Relationship Id="rId163" Type="http://schemas.openxmlformats.org/officeDocument/2006/relationships/hyperlink" Target="https://scholar.google.com/scholar_lookup?title=Ciliary+activity+and+metachronism+in+protozoa&amp;author=Machemer+H&amp;publication_year=1974&amp;pages=pp.+199%E2%80%93287" TargetMode="External"/><Relationship Id="rId184" Type="http://schemas.openxmlformats.org/officeDocument/2006/relationships/hyperlink" Target="https://scholar.google.com/scholar_lookup?title=Ciliary+activity+and+metachronism+in+protozoa&amp;author=Machemer+H&amp;publication_year=1974&amp;pages=pp.+199%E2%80%93287" TargetMode="External"/><Relationship Id="rId219" Type="http://schemas.openxmlformats.org/officeDocument/2006/relationships/hyperlink" Target="https://www.annualreviews.org/content/journals/10.1146/annurev.fl.09.010177.002011" TargetMode="External"/><Relationship Id="rId230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51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25" Type="http://schemas.openxmlformats.org/officeDocument/2006/relationships/hyperlink" Target="https://journals.asm.org/doi/10.1128/aem.06723-11" TargetMode="External"/><Relationship Id="rId46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67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272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93" Type="http://schemas.openxmlformats.org/officeDocument/2006/relationships/hyperlink" Target="https://rupress.org/jcb/article/62/2/322/18433/DYNAMICS-OF-THE-HISPID-FLAGELLUM-OF-OCHROMONAS" TargetMode="External"/><Relationship Id="rId307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328" Type="http://schemas.openxmlformats.org/officeDocument/2006/relationships/hyperlink" Target="https://www.journals.uchicago.edu/doi/abs/10.1086/physzool.27.3.30152169" TargetMode="External"/><Relationship Id="rId88" Type="http://schemas.openxmlformats.org/officeDocument/2006/relationships/hyperlink" Target="https://www.sciencedirect.com/science/article/pii/S0006349506724833" TargetMode="External"/><Relationship Id="rId111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132" Type="http://schemas.openxmlformats.org/officeDocument/2006/relationships/hyperlink" Target="https://journals.plos.org/plospathogens/article?id=10.1371/journal.ppat.1005448" TargetMode="External"/><Relationship Id="rId153" Type="http://schemas.openxmlformats.org/officeDocument/2006/relationships/hyperlink" Target="https://www.ingentaconnect.com/content/umrsmas/bullmar/1993/00000053/00000001/art00004" TargetMode="External"/><Relationship Id="rId174" Type="http://schemas.openxmlformats.org/officeDocument/2006/relationships/hyperlink" Target="https://link.springer.com/article/10.1007/BF00401099" TargetMode="External"/><Relationship Id="rId195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09" Type="http://schemas.openxmlformats.org/officeDocument/2006/relationships/hyperlink" Target="https://www.annualreviews.org/content/journals/10.1146/annurev.fl.09.010177.002011" TargetMode="External"/><Relationship Id="rId220" Type="http://schemas.openxmlformats.org/officeDocument/2006/relationships/hyperlink" Target="https://www.annualreviews.org/content/journals/10.1146/annurev.fl.09.010177.002011" TargetMode="External"/><Relationship Id="rId241" Type="http://schemas.openxmlformats.org/officeDocument/2006/relationships/hyperlink" Target="https://www.sciencedirect.com/science/article/pii/B9780080118468500050" TargetMode="External"/><Relationship Id="rId15" Type="http://schemas.openxmlformats.org/officeDocument/2006/relationships/hyperlink" Target="https://www.ccap.ac.uk/catalogue/strain-1614-2" TargetMode="External"/><Relationship Id="rId36" Type="http://schemas.openxmlformats.org/officeDocument/2006/relationships/hyperlink" Target="https://www.sciencedirect.com/science/article/pii/S0932473998800114" TargetMode="External"/><Relationship Id="rId57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262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83" Type="http://schemas.openxmlformats.org/officeDocument/2006/relationships/hyperlink" Target="https://onlinelibrary.wiley.com/doi/10.1111/j.1469-185X.1982.tb00702.x" TargetMode="External"/><Relationship Id="rId318" Type="http://schemas.openxmlformats.org/officeDocument/2006/relationships/hyperlink" Target="https://www.nature.com/articles/srep39892" TargetMode="External"/><Relationship Id="rId339" Type="http://schemas.openxmlformats.org/officeDocument/2006/relationships/hyperlink" Target="https://link.springer.com/article/10.1007/s00343-010-9096-0" TargetMode="External"/><Relationship Id="rId78" Type="http://schemas.openxmlformats.org/officeDocument/2006/relationships/hyperlink" Target="https://www.microbiologyresearch.org/content/journal/micro/10.1099/13500872-140-11-3109" TargetMode="External"/><Relationship Id="rId99" Type="http://schemas.openxmlformats.org/officeDocument/2006/relationships/hyperlink" Target="https://onlinelibrary.wiley.com/doi/10.1002/jez.1400560404" TargetMode="External"/><Relationship Id="rId101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22" Type="http://schemas.openxmlformats.org/officeDocument/2006/relationships/hyperlink" Target="https://link.springer.com/article/10.1007/BF00401099" TargetMode="External"/><Relationship Id="rId143" Type="http://schemas.openxmlformats.org/officeDocument/2006/relationships/hyperlink" Target="https://www.ingentaconnect.com/content/umrsmas/bullmar/1993/00000053/00000001/art00004" TargetMode="External"/><Relationship Id="rId164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85" Type="http://schemas.openxmlformats.org/officeDocument/2006/relationships/hyperlink" Target="https://www.sciencedirect.com/science/article/pii/S002209811300169X" TargetMode="External"/><Relationship Id="rId9" Type="http://schemas.openxmlformats.org/officeDocument/2006/relationships/hyperlink" Target="https://www.ncbi.nlm.nih.gov/pmc/articles/PMC9143557/" TargetMode="External"/><Relationship Id="rId210" Type="http://schemas.openxmlformats.org/officeDocument/2006/relationships/hyperlink" Target="https://www.jstor.org/stable/3225224" TargetMode="External"/><Relationship Id="rId26" Type="http://schemas.openxmlformats.org/officeDocument/2006/relationships/hyperlink" Target="https://journals.asm.org/doi/10.1128/aem.06723-11" TargetMode="External"/><Relationship Id="rId231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Relationship Id="rId252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73" Type="http://schemas.openxmlformats.org/officeDocument/2006/relationships/hyperlink" Target="https://journals.aps.org/prl/abstract/10.1103/PhysRevLett.105.168102" TargetMode="External"/><Relationship Id="rId294" Type="http://schemas.openxmlformats.org/officeDocument/2006/relationships/hyperlink" Target="https://scholar.google.com/scholar_lookup?title=Mechanisms+of+locomotion+of+flagellates%3A+v%3A+Trypanosoma+lewisi+and+T.+cruzi&amp;author=Jahn+TL&amp;author=Fonseca+JR&amp;publication_year=1963&amp;journal=The+Journal+of+Protozoology&amp;volume=11" TargetMode="External"/><Relationship Id="rId308" Type="http://schemas.openxmlformats.org/officeDocument/2006/relationships/hyperlink" Target="https://www.pnas.org/doi/full/10.1073/pnas.0907001106" TargetMode="External"/><Relationship Id="rId329" Type="http://schemas.openxmlformats.org/officeDocument/2006/relationships/hyperlink" Target="https://www.journals.uchicago.edu/doi/abs/10.1086/physzool.27.3.30152169" TargetMode="External"/><Relationship Id="rId47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68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89" Type="http://schemas.openxmlformats.org/officeDocument/2006/relationships/hyperlink" Target="https://www.ncbi.nlm.nih.gov/pmc/articles/PMC235227/" TargetMode="External"/><Relationship Id="rId112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133" Type="http://schemas.openxmlformats.org/officeDocument/2006/relationships/hyperlink" Target="https://journals.plos.org/plospathogens/article?id=10.1371/journal.ppat.1005448" TargetMode="External"/><Relationship Id="rId154" Type="http://schemas.openxmlformats.org/officeDocument/2006/relationships/hyperlink" Target="https://www.ingentaconnect.com/content/umrsmas/bullmar/1993/00000053/00000001/art00004" TargetMode="External"/><Relationship Id="rId175" Type="http://schemas.openxmlformats.org/officeDocument/2006/relationships/hyperlink" Target="https://www.int-res.com/abstracts/ame/v44/n2/p197-206/" TargetMode="External"/><Relationship Id="rId340" Type="http://schemas.openxmlformats.org/officeDocument/2006/relationships/hyperlink" Target="https://eol.org/media/14056246" TargetMode="External"/><Relationship Id="rId196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00" Type="http://schemas.openxmlformats.org/officeDocument/2006/relationships/hyperlink" Target="https://scholar.google.com/scholar_lookup?title=Bewegungsstudien+an+Peridineen&amp;author=Metzner+P&amp;publication_year=1929&amp;journal=Z.Bot&amp;volume=22&amp;pages=pp.+225%E2%80%93265" TargetMode="External"/><Relationship Id="rId16" Type="http://schemas.openxmlformats.org/officeDocument/2006/relationships/hyperlink" Target="https://eol.org/media/10651000" TargetMode="External"/><Relationship Id="rId221" Type="http://schemas.openxmlformats.org/officeDocument/2006/relationships/hyperlink" Target="https://www.annualreviews.org/content/journals/10.1146/annurev.fl.09.010177.002011" TargetMode="External"/><Relationship Id="rId242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Relationship Id="rId263" Type="http://schemas.openxmlformats.org/officeDocument/2006/relationships/hyperlink" Target="https://onlinelibrary.wiley.com/doi/10.1111/j.1529-8817.1980.tb03064.x" TargetMode="External"/><Relationship Id="rId284" Type="http://schemas.openxmlformats.org/officeDocument/2006/relationships/hyperlink" Target="https://onlinelibrary.wiley.com/doi/10.1111/j.1469-185X.1982.tb00702.x" TargetMode="External"/><Relationship Id="rId319" Type="http://schemas.openxmlformats.org/officeDocument/2006/relationships/hyperlink" Target="https://zslpublications.onlinelibrary.wiley.com/doi/10.1111/j.1469-7998.1941.tb08476.x" TargetMode="External"/><Relationship Id="rId37" Type="http://schemas.openxmlformats.org/officeDocument/2006/relationships/hyperlink" Target="https://onlinelibrary.wiley.com/doi/10.1002/cm.20056" TargetMode="External"/><Relationship Id="rId58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79" Type="http://schemas.openxmlformats.org/officeDocument/2006/relationships/hyperlink" Target="https://onlinelibrary.wiley.com/doi/10.1111/j.1365-2958.2006.05081.x" TargetMode="External"/><Relationship Id="rId102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23" Type="http://schemas.openxmlformats.org/officeDocument/2006/relationships/hyperlink" Target="https://link.springer.com/article/10.1007/BF00401099" TargetMode="External"/><Relationship Id="rId144" Type="http://schemas.openxmlformats.org/officeDocument/2006/relationships/hyperlink" Target="https://www.ingentaconnect.com/content/umrsmas/bullmar/1993/00000053/00000001/art00004" TargetMode="External"/><Relationship Id="rId330" Type="http://schemas.openxmlformats.org/officeDocument/2006/relationships/hyperlink" Target="https://ieeexplore.ieee.org/document/6225014" TargetMode="External"/><Relationship Id="rId90" Type="http://schemas.openxmlformats.org/officeDocument/2006/relationships/hyperlink" Target="https://pubmed.ncbi.nlm.nih.gov/1190952/" TargetMode="External"/><Relationship Id="rId165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86" Type="http://schemas.openxmlformats.org/officeDocument/2006/relationships/hyperlink" Target="https://www.sciencedirect.com/science/article/pii/S002209811300169X" TargetMode="External"/><Relationship Id="rId211" Type="http://schemas.openxmlformats.org/officeDocument/2006/relationships/hyperlink" Target="https://zslpublications.onlinelibrary.wiley.com/doi/10.1111/j.1469-7998.1941.tb08476.x" TargetMode="External"/><Relationship Id="rId232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253" Type="http://schemas.openxmlformats.org/officeDocument/2006/relationships/hyperlink" Target="https://link.springer.com/article/10.1007/BF00401099" TargetMode="External"/><Relationship Id="rId274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95" Type="http://schemas.openxmlformats.org/officeDocument/2006/relationships/hyperlink" Target="https://www.sciencedirect.com/science/article/pii/S1434461004701674" TargetMode="External"/><Relationship Id="rId309" Type="http://schemas.openxmlformats.org/officeDocument/2006/relationships/hyperlink" Target="https://scholar.google.com/scholar_lookup?title=The+role+of+body+oscillation+in+the+propulsion+of+microorganisms&amp;author=Holwill+MEJ&amp;publication_year=1975&amp;pages=pp.+133%E2%80%93141" TargetMode="External"/><Relationship Id="rId27" Type="http://schemas.openxmlformats.org/officeDocument/2006/relationships/hyperlink" Target="https://journals.asm.org/doi/10.1128/aem.06723-11" TargetMode="External"/><Relationship Id="rId48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69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13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134" Type="http://schemas.openxmlformats.org/officeDocument/2006/relationships/hyperlink" Target="https://journals.plos.org/plospathogens/article?id=10.1371/journal.ppat.1005448" TargetMode="External"/><Relationship Id="rId320" Type="http://schemas.openxmlformats.org/officeDocument/2006/relationships/hyperlink" Target="https://zslpublications.onlinelibrary.wiley.com/doi/10.1111/j.1469-7998.1941.tb08476.x" TargetMode="External"/><Relationship Id="rId80" Type="http://schemas.openxmlformats.org/officeDocument/2006/relationships/hyperlink" Target="https://www.sciencedirect.com/science/article/pii/S0022283609009887" TargetMode="External"/><Relationship Id="rId155" Type="http://schemas.openxmlformats.org/officeDocument/2006/relationships/hyperlink" Target="https://www.sciencedirect.com/science/article/pii/S1434461099700337" TargetMode="External"/><Relationship Id="rId176" Type="http://schemas.openxmlformats.org/officeDocument/2006/relationships/hyperlink" Target="https://www.int-res.com/abstracts/ame/v44/n2/p197-206/" TargetMode="External"/><Relationship Id="rId197" Type="http://schemas.openxmlformats.org/officeDocument/2006/relationships/hyperlink" Target="https://link.springer.com/article/10.1007/BF00401099" TargetMode="External"/><Relationship Id="rId341" Type="http://schemas.openxmlformats.org/officeDocument/2006/relationships/hyperlink" Target="https://eol.org/media/10647921" TargetMode="External"/><Relationship Id="rId201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22" Type="http://schemas.openxmlformats.org/officeDocument/2006/relationships/hyperlink" Target="https://www.annualreviews.org/content/journals/10.1146/annurev.fl.09.010177.002011" TargetMode="External"/><Relationship Id="rId243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64" Type="http://schemas.openxmlformats.org/officeDocument/2006/relationships/hyperlink" Target="https://link.springer.com/article/10.1007/BF00401099" TargetMode="External"/><Relationship Id="rId285" Type="http://schemas.openxmlformats.org/officeDocument/2006/relationships/hyperlink" Target="https://link.springer.com/article/10.1007/BF00347287" TargetMode="External"/><Relationship Id="rId17" Type="http://schemas.openxmlformats.org/officeDocument/2006/relationships/hyperlink" Target="https://elifesciences.org/articles/44907" TargetMode="External"/><Relationship Id="rId38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59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03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24" Type="http://schemas.openxmlformats.org/officeDocument/2006/relationships/hyperlink" Target="https://link.springer.com/article/10.1007/BF00401099" TargetMode="External"/><Relationship Id="rId310" Type="http://schemas.openxmlformats.org/officeDocument/2006/relationships/hyperlink" Target="https://www.jstor.org/stable/3225455" TargetMode="External"/><Relationship Id="rId70" Type="http://schemas.openxmlformats.org/officeDocument/2006/relationships/hyperlink" Target="https://elifesciences.org/articles/47551" TargetMode="External"/><Relationship Id="rId91" Type="http://schemas.openxmlformats.org/officeDocument/2006/relationships/hyperlink" Target="https://www.pnas.org/doi/full/10.1073/pnas.1114362109" TargetMode="External"/><Relationship Id="rId145" Type="http://schemas.openxmlformats.org/officeDocument/2006/relationships/hyperlink" Target="https://www.ingentaconnect.com/content/umrsmas/bullmar/1993/00000053/00000001/art00004" TargetMode="External"/><Relationship Id="rId166" Type="http://schemas.openxmlformats.org/officeDocument/2006/relationships/hyperlink" Target="https://www.ncbi.nlm.nih.gov/pmc/articles/PMC6398456/" TargetMode="External"/><Relationship Id="rId187" Type="http://schemas.openxmlformats.org/officeDocument/2006/relationships/hyperlink" Target="https://www.sciencedirect.com/science/article/pii/S002209811300169X" TargetMode="External"/><Relationship Id="rId331" Type="http://schemas.openxmlformats.org/officeDocument/2006/relationships/hyperlink" Target="https://onlinelibrary.wiley.com/doi/10.1002/cm.10026" TargetMode="External"/><Relationship Id="rId1" Type="http://schemas.openxmlformats.org/officeDocument/2006/relationships/hyperlink" Target="https://eol.org/media/14109902" TargetMode="External"/><Relationship Id="rId212" Type="http://schemas.openxmlformats.org/officeDocument/2006/relationships/hyperlink" Target="https://zslpublications.onlinelibrary.wiley.com/doi/10.1111/j.1469-7998.1941.tb08476.x" TargetMode="External"/><Relationship Id="rId233" Type="http://schemas.openxmlformats.org/officeDocument/2006/relationships/hyperlink" Target="https://citeseerx.ist.psu.edu/document?repid=rep1&amp;type=pdf&amp;doi=d75ec8e06afd3921531fd65d7080587bfd95abc5" TargetMode="External"/><Relationship Id="rId254" Type="http://schemas.openxmlformats.org/officeDocument/2006/relationships/hyperlink" Target="https://www.e-algae.org/journal/view.php?doi=10.4490/algae.2017.32.5.30" TargetMode="External"/><Relationship Id="rId28" Type="http://schemas.openxmlformats.org/officeDocument/2006/relationships/hyperlink" Target="https://journals.asm.org/doi/10.1128/aem.06723-11" TargetMode="External"/><Relationship Id="rId49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14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275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96" Type="http://schemas.openxmlformats.org/officeDocument/2006/relationships/hyperlink" Target="https://academic.oup.com/plankt/article/33/4/641/1476397" TargetMode="External"/><Relationship Id="rId300" Type="http://schemas.openxmlformats.org/officeDocument/2006/relationships/hyperlink" Target="https://www.jstor.org/stable/3225224" TargetMode="External"/><Relationship Id="rId60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81" Type="http://schemas.openxmlformats.org/officeDocument/2006/relationships/hyperlink" Target="https://onlinelibrary.wiley.com/doi/10.1111/j.1348-0421.1995.tb03260.x" TargetMode="External"/><Relationship Id="rId135" Type="http://schemas.openxmlformats.org/officeDocument/2006/relationships/hyperlink" Target="https://www.ingentaconnect.com/content/umrsmas/bullmar/1993/00000053/00000001/art00004" TargetMode="External"/><Relationship Id="rId156" Type="http://schemas.openxmlformats.org/officeDocument/2006/relationships/hyperlink" Target="https://www.sciencedirect.com/science/article/pii/S1434461099700337" TargetMode="External"/><Relationship Id="rId177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198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321" Type="http://schemas.openxmlformats.org/officeDocument/2006/relationships/hyperlink" Target="https://zslpublications.onlinelibrary.wiley.com/doi/10.1111/j.1096-3642.1944.tb00228.x" TargetMode="External"/><Relationship Id="rId202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223" Type="http://schemas.openxmlformats.org/officeDocument/2006/relationships/hyperlink" Target="https://www.annualreviews.org/content/journals/10.1146/annurev.fl.09.010177.002011" TargetMode="External"/><Relationship Id="rId244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Relationship Id="rId18" Type="http://schemas.openxmlformats.org/officeDocument/2006/relationships/hyperlink" Target="https://www.sciencedirect.com/science/article/pii/S0932473988800245?via%3Dihub" TargetMode="External"/><Relationship Id="rId39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265" Type="http://schemas.openxmlformats.org/officeDocument/2006/relationships/hyperlink" Target="https://onlinelibrary.wiley.com/doi/10.1111/jpy.12384" TargetMode="External"/><Relationship Id="rId286" Type="http://schemas.openxmlformats.org/officeDocument/2006/relationships/hyperlink" Target="https://link.springer.com/article/10.1007/BF00347287" TargetMode="External"/><Relationship Id="rId50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04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25" Type="http://schemas.openxmlformats.org/officeDocument/2006/relationships/hyperlink" Target="https://link.springer.com/article/10.1007/BF00401099" TargetMode="External"/><Relationship Id="rId146" Type="http://schemas.openxmlformats.org/officeDocument/2006/relationships/hyperlink" Target="https://www.ingentaconnect.com/content/umrsmas/bullmar/1993/00000053/00000001/art00004" TargetMode="External"/><Relationship Id="rId167" Type="http://schemas.openxmlformats.org/officeDocument/2006/relationships/hyperlink" Target="https://pubmed.ncbi.nlm.nih.gov/27779746/" TargetMode="External"/><Relationship Id="rId188" Type="http://schemas.openxmlformats.org/officeDocument/2006/relationships/hyperlink" Target="https://www.int-res.com/abstracts/ame/v44/n2/p197-206/" TargetMode="External"/><Relationship Id="rId311" Type="http://schemas.openxmlformats.org/officeDocument/2006/relationships/hyperlink" Target="https://scholar.google.com/scholar_lookup?title=The+role+of+body+oscillation+in+the+propulsion+of+microorganisms&amp;author=Holwill+MEJ&amp;publication_year=1975&amp;pages=pp.+133%E2%80%93141" TargetMode="External"/><Relationship Id="rId332" Type="http://schemas.openxmlformats.org/officeDocument/2006/relationships/hyperlink" Target="https://www.pnas.org/doi/full/10.1073/pnas.1106904108" TargetMode="External"/><Relationship Id="rId71" Type="http://schemas.openxmlformats.org/officeDocument/2006/relationships/hyperlink" Target="https://enviromicro-journals.onlinelibrary.wiley.com/doi/10.1111/1462-2920.14710" TargetMode="External"/><Relationship Id="rId92" Type="http://schemas.openxmlformats.org/officeDocument/2006/relationships/hyperlink" Target="https://pubmed.ncbi.nlm.nih.gov/9868769/" TargetMode="External"/><Relationship Id="rId213" Type="http://schemas.openxmlformats.org/officeDocument/2006/relationships/hyperlink" Target="https://www.jstor.org/stable/3225224" TargetMode="External"/><Relationship Id="rId234" Type="http://schemas.openxmlformats.org/officeDocument/2006/relationships/hyperlink" Target="https://scholar.google.com/scholar_lookup?title=Ciliary+activity+and+metachronism+in+protozoa&amp;author=Machemer+H&amp;publication_year=1974&amp;pages=pp.+199%E2%80%93287" TargetMode="External"/><Relationship Id="rId2" Type="http://schemas.openxmlformats.org/officeDocument/2006/relationships/hyperlink" Target="https://onlinelibrary.wiley.com/doi/abs/10.1111/j.1550-7408.1987.tb03145.x" TargetMode="External"/><Relationship Id="rId29" Type="http://schemas.openxmlformats.org/officeDocument/2006/relationships/hyperlink" Target="https://journals.asm.org/doi/10.1128/aem.06723-11" TargetMode="External"/><Relationship Id="rId255" Type="http://schemas.openxmlformats.org/officeDocument/2006/relationships/hyperlink" Target="https://journals.biologists.com/jeb/article/213/24/4223/10019/Mechanisms-of-temperature-dependent-swimming-the" TargetMode="External"/><Relationship Id="rId276" Type="http://schemas.openxmlformats.org/officeDocument/2006/relationships/hyperlink" Target="https://www.jstor.org/stable/3225224" TargetMode="External"/><Relationship Id="rId297" Type="http://schemas.openxmlformats.org/officeDocument/2006/relationships/hyperlink" Target="https://link.springer.com/article/10.1007/s00442-006-0385-4" TargetMode="External"/><Relationship Id="rId40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15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136" Type="http://schemas.openxmlformats.org/officeDocument/2006/relationships/hyperlink" Target="https://www.ingentaconnect.com/content/umrsmas/bullmar/1993/00000053/00000001/art00004" TargetMode="External"/><Relationship Id="rId157" Type="http://schemas.openxmlformats.org/officeDocument/2006/relationships/hyperlink" Target="https://www.sciencedirect.com/science/article/pii/S1434461099700337" TargetMode="External"/><Relationship Id="rId178" Type="http://schemas.openxmlformats.org/officeDocument/2006/relationships/hyperlink" Target="https://scholar.google.com/scholar_lookup?title=Bewegungsstudien+an+Peridineen&amp;author=Metzner+P&amp;publication_year=1929&amp;journal=Z.Bot&amp;volume=22&amp;pages=pp.+225%E2%80%93265" TargetMode="External"/><Relationship Id="rId301" Type="http://schemas.openxmlformats.org/officeDocument/2006/relationships/hyperlink" Target="https://www.jstor.org/stable/3225224" TargetMode="External"/><Relationship Id="rId322" Type="http://schemas.openxmlformats.org/officeDocument/2006/relationships/hyperlink" Target="https://zslpublications.onlinelibrary.wiley.com/doi/10.1111/j.1096-3642.1944.tb00228.x" TargetMode="External"/><Relationship Id="rId61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82" Type="http://schemas.openxmlformats.org/officeDocument/2006/relationships/hyperlink" Target="https://onlinelibrary.wiley.com/doi/10.1111/j.1348-0421.1995.tb03260.x" TargetMode="External"/><Relationship Id="rId199" Type="http://schemas.openxmlformats.org/officeDocument/2006/relationships/hyperlink" Target="https://link.springer.com/article/10.1007/BF00401099" TargetMode="External"/><Relationship Id="rId203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9" Type="http://schemas.openxmlformats.org/officeDocument/2006/relationships/hyperlink" Target="https://onlinelibrary.wiley.com/doi/abs/10.1111/j.1550-7408.1967.tb01447.x" TargetMode="External"/><Relationship Id="rId224" Type="http://schemas.openxmlformats.org/officeDocument/2006/relationships/hyperlink" Target="https://www.jstor.org/stable/3225224" TargetMode="External"/><Relationship Id="rId245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Relationship Id="rId266" Type="http://schemas.openxmlformats.org/officeDocument/2006/relationships/hyperlink" Target="https://www.sciencedirect.com/science/article/pii/S1434461099700337" TargetMode="External"/><Relationship Id="rId287" Type="http://schemas.openxmlformats.org/officeDocument/2006/relationships/hyperlink" Target="https://link.springer.com/article/10.1007/BF00347287" TargetMode="External"/><Relationship Id="rId30" Type="http://schemas.openxmlformats.org/officeDocument/2006/relationships/hyperlink" Target="https://journals.asm.org/doi/10.1128/aem.06723-11" TargetMode="External"/><Relationship Id="rId105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26" Type="http://schemas.openxmlformats.org/officeDocument/2006/relationships/hyperlink" Target="https://link.springer.com/article/10.1007/BF00401099" TargetMode="External"/><Relationship Id="rId147" Type="http://schemas.openxmlformats.org/officeDocument/2006/relationships/hyperlink" Target="https://www.ingentaconnect.com/content/umrsmas/bullmar/1993/00000053/00000001/art00004" TargetMode="External"/><Relationship Id="rId168" Type="http://schemas.openxmlformats.org/officeDocument/2006/relationships/hyperlink" Target="https://www.tandfonline.com/doi/full/10.1080/09670262.2015.1054892" TargetMode="External"/><Relationship Id="rId312" Type="http://schemas.openxmlformats.org/officeDocument/2006/relationships/hyperlink" Target="https://scholar.google.com/scholar_lookup?title=The+role+of+body+oscillation+in+the+propulsion+of+microorganisms&amp;author=Holwill+MEJ&amp;publication_year=1975&amp;pages=pp.+133%E2%80%93141" TargetMode="External"/><Relationship Id="rId333" Type="http://schemas.openxmlformats.org/officeDocument/2006/relationships/hyperlink" Target="http://nature.com/articles/s41467-023-37868-0" TargetMode="External"/><Relationship Id="rId51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72" Type="http://schemas.openxmlformats.org/officeDocument/2006/relationships/hyperlink" Target="https://onlinelibrary.wiley.com/doi/10.1016/j.femsec.2004.01.013" TargetMode="External"/><Relationship Id="rId93" Type="http://schemas.openxmlformats.org/officeDocument/2006/relationships/hyperlink" Target="https://www.ncbi.nlm.nih.gov/pmc/articles/PMC3838743/" TargetMode="External"/><Relationship Id="rId189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3" Type="http://schemas.openxmlformats.org/officeDocument/2006/relationships/hyperlink" Target="https://onlinelibrary.wiley.com/doi/10.1002/cm.20056" TargetMode="External"/><Relationship Id="rId214" Type="http://schemas.openxmlformats.org/officeDocument/2006/relationships/hyperlink" Target="https://www.jstor.org/stable/3225224" TargetMode="External"/><Relationship Id="rId235" Type="http://schemas.openxmlformats.org/officeDocument/2006/relationships/hyperlink" Target="https://royalsocietypublishing.org/doi/10.1098/rsos.150437" TargetMode="External"/><Relationship Id="rId256" Type="http://schemas.openxmlformats.org/officeDocument/2006/relationships/hyperlink" Target="https://academic.oup.com/ib/article/7/1/90/5198254" TargetMode="External"/><Relationship Id="rId277" Type="http://schemas.openxmlformats.org/officeDocument/2006/relationships/hyperlink" Target="https://www.jstor.org/stable/3225224" TargetMode="External"/><Relationship Id="rId298" Type="http://schemas.openxmlformats.org/officeDocument/2006/relationships/hyperlink" Target="https://link.springer.com/article/10.1007/s00442-006-0385-4" TargetMode="External"/><Relationship Id="rId116" Type="http://schemas.openxmlformats.org/officeDocument/2006/relationships/hyperlink" Target="https://www.sciencedirect.com/science/article/pii/S1434461004700711" TargetMode="External"/><Relationship Id="rId137" Type="http://schemas.openxmlformats.org/officeDocument/2006/relationships/hyperlink" Target="https://www.ingentaconnect.com/content/umrsmas/bullmar/1993/00000053/00000001/art00004" TargetMode="External"/><Relationship Id="rId158" Type="http://schemas.openxmlformats.org/officeDocument/2006/relationships/hyperlink" Target="https://www.sciencedirect.com/science/article/pii/S1434461099700337" TargetMode="External"/><Relationship Id="rId302" Type="http://schemas.openxmlformats.org/officeDocument/2006/relationships/hyperlink" Target="https://link.springer.com/article/10.1007/BF00401099" TargetMode="External"/><Relationship Id="rId323" Type="http://schemas.openxmlformats.org/officeDocument/2006/relationships/hyperlink" Target="https://www.nature.com/articles/srep39892" TargetMode="External"/><Relationship Id="rId20" Type="http://schemas.openxmlformats.org/officeDocument/2006/relationships/hyperlink" Target="https://link.springer.com/chapter/10.1007/978-3-319-12793-4_2" TargetMode="External"/><Relationship Id="rId41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62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83" Type="http://schemas.openxmlformats.org/officeDocument/2006/relationships/hyperlink" Target="https://www.sciencedirect.com/science/article/pii/S0022283605008181" TargetMode="External"/><Relationship Id="rId179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190" Type="http://schemas.openxmlformats.org/officeDocument/2006/relationships/hyperlink" Target="https://scholar.google.com/scholar_lookup?title=Bewegungsstudien+an+Peridineen&amp;author=Metzner+P&amp;publication_year=1929&amp;journal=Z.Bot&amp;volume=22&amp;pages=pp.+225%E2%80%93265" TargetMode="External"/><Relationship Id="rId204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25" Type="http://schemas.openxmlformats.org/officeDocument/2006/relationships/hyperlink" Target="https://scholar.google.com/scholar_lookup?title=Behaviour+in+dinoflagellates&amp;author=Levandowsky+M&amp;author=Kaneta+PJ&amp;publication_year=1987&amp;pages=pp.+360%E2%80%93397" TargetMode="External"/><Relationship Id="rId246" Type="http://schemas.openxmlformats.org/officeDocument/2006/relationships/hyperlink" Target="https://scholar.google.com/scholar_lookup?title=Hydromechanical+aspects+of+ciliary+propulsion&amp;author=Blake+JR&amp;publication_year=1975&amp;pages=pp.+185%E2%80%93209" TargetMode="External"/><Relationship Id="rId267" Type="http://schemas.openxmlformats.org/officeDocument/2006/relationships/hyperlink" Target="https://www.sciencedirect.com/science/article/pii/S1434461004701674" TargetMode="External"/><Relationship Id="rId288" Type="http://schemas.openxmlformats.org/officeDocument/2006/relationships/hyperlink" Target="https://link.springer.com/article/10.1007/BF00347287" TargetMode="External"/><Relationship Id="rId106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127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313" Type="http://schemas.openxmlformats.org/officeDocument/2006/relationships/hyperlink" Target="https://www.jstor.org/stable/3225224" TargetMode="External"/><Relationship Id="rId10" Type="http://schemas.openxmlformats.org/officeDocument/2006/relationships/hyperlink" Target="https://www.canadiannaturephotographer.com/didinium_paramecium.html" TargetMode="External"/><Relationship Id="rId31" Type="http://schemas.openxmlformats.org/officeDocument/2006/relationships/hyperlink" Target="https://journals.asm.org/doi/10.1128/aem.06723-11" TargetMode="External"/><Relationship Id="rId52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73" Type="http://schemas.openxmlformats.org/officeDocument/2006/relationships/hyperlink" Target="https://royalsocietypublishing.org/doi/10.1098/rspb.2015.0770" TargetMode="External"/><Relationship Id="rId94" Type="http://schemas.openxmlformats.org/officeDocument/2006/relationships/hyperlink" Target="https://www.ncbi.nlm.nih.gov/pmc/articles/PMC3907252/" TargetMode="External"/><Relationship Id="rId148" Type="http://schemas.openxmlformats.org/officeDocument/2006/relationships/hyperlink" Target="https://link.springer.com/article/10.1007/BF00401099" TargetMode="External"/><Relationship Id="rId169" Type="http://schemas.openxmlformats.org/officeDocument/2006/relationships/hyperlink" Target="https://www.e-algae.org/journal/view.php?number=2721" TargetMode="External"/><Relationship Id="rId334" Type="http://schemas.openxmlformats.org/officeDocument/2006/relationships/hyperlink" Target="https://elifesciences.org/articles/44907" TargetMode="External"/><Relationship Id="rId4" Type="http://schemas.openxmlformats.org/officeDocument/2006/relationships/hyperlink" Target="https://www.int-res.com/articles/meps/214/m214p067.pdf" TargetMode="External"/><Relationship Id="rId180" Type="http://schemas.openxmlformats.org/officeDocument/2006/relationships/hyperlink" Target="https://www.int-res.com/abstracts/ame/v13/n3/p267-274/" TargetMode="External"/><Relationship Id="rId215" Type="http://schemas.openxmlformats.org/officeDocument/2006/relationships/hyperlink" Target="https://zslpublications.onlinelibrary.wiley.com/doi/10.1111/j.1469-7998.1941.tb08476.x" TargetMode="External"/><Relationship Id="rId236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257" Type="http://schemas.openxmlformats.org/officeDocument/2006/relationships/hyperlink" Target="https://www.sciencedirect.com/science/article/pii/S0932473997800211" TargetMode="External"/><Relationship Id="rId278" Type="http://schemas.openxmlformats.org/officeDocument/2006/relationships/hyperlink" Target="https://www.jstor.org/stable/3225176" TargetMode="External"/><Relationship Id="rId303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42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84" Type="http://schemas.openxmlformats.org/officeDocument/2006/relationships/hyperlink" Target="https://www.ncbi.nlm.nih.gov/pmc/articles/PMC178290/" TargetMode="External"/><Relationship Id="rId138" Type="http://schemas.openxmlformats.org/officeDocument/2006/relationships/hyperlink" Target="https://www.ingentaconnect.com/content/umrsmas/bullmar/1993/00000053/00000001/art00004" TargetMode="External"/><Relationship Id="rId191" Type="http://schemas.openxmlformats.org/officeDocument/2006/relationships/hyperlink" Target="https://link.springer.com/article/10.1007/BF00401099" TargetMode="External"/><Relationship Id="rId205" Type="http://schemas.openxmlformats.org/officeDocument/2006/relationships/hyperlink" Target="https://www.jstor.org/stable/3225224" TargetMode="External"/><Relationship Id="rId247" Type="http://schemas.openxmlformats.org/officeDocument/2006/relationships/hyperlink" Target="https://www.sciencedirect.com/science/article/pii/1011134495071604" TargetMode="External"/><Relationship Id="rId107" Type="http://schemas.openxmlformats.org/officeDocument/2006/relationships/hyperlink" Target="https://scholar.google.com/scholar_lookup?title=%C3%9Cber+Orts-+und+Geisselbewegung+bei+marinen+Dinoflagellaten&amp;author=Peters+N&amp;publication_year=1929&amp;journal=Archiv+f%C3%BCr+Protistenkunde&amp;volume=67&amp;pages=pp.+291%E2%80%93321" TargetMode="External"/><Relationship Id="rId289" Type="http://schemas.openxmlformats.org/officeDocument/2006/relationships/hyperlink" Target="https://link.springer.com/article/10.1007/BF00347287" TargetMode="External"/><Relationship Id="rId11" Type="http://schemas.openxmlformats.org/officeDocument/2006/relationships/hyperlink" Target="https://www.mdpi.com/1424-2818/12/8/287" TargetMode="External"/><Relationship Id="rId53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49" Type="http://schemas.openxmlformats.org/officeDocument/2006/relationships/hyperlink" Target="https://onlinelibrary.wiley.com/doi/10.1002/jez.1400560404" TargetMode="External"/><Relationship Id="rId314" Type="http://schemas.openxmlformats.org/officeDocument/2006/relationships/hyperlink" Target="https://www.journals.uchicago.edu/doi/10.2307/1539392" TargetMode="External"/><Relationship Id="rId95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60" Type="http://schemas.openxmlformats.org/officeDocument/2006/relationships/hyperlink" Target="https://www.int-res.com/articles/meps/48/m048p001.pdf" TargetMode="External"/><Relationship Id="rId216" Type="http://schemas.openxmlformats.org/officeDocument/2006/relationships/hyperlink" Target="https://www.tandfonline.com/doi/full/10.1080/17451000600571044" TargetMode="External"/><Relationship Id="rId258" Type="http://schemas.openxmlformats.org/officeDocument/2006/relationships/hyperlink" Target="https://journals.asm.org/doi/10.1128/aem.01044-07" TargetMode="External"/><Relationship Id="rId22" Type="http://schemas.openxmlformats.org/officeDocument/2006/relationships/hyperlink" Target="https://link.springer.com/article/10.1007/BF00165817" TargetMode="External"/><Relationship Id="rId64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18" Type="http://schemas.openxmlformats.org/officeDocument/2006/relationships/hyperlink" Target="https://www.sciencedirect.com/science/article/pii/S1434461004700711" TargetMode="External"/><Relationship Id="rId325" Type="http://schemas.openxmlformats.org/officeDocument/2006/relationships/hyperlink" Target="https://citeseerx.ist.psu.edu/document?repid=rep1&amp;type=pdf&amp;doi=d75ec8e06afd3921531fd65d7080587bfd95abc5" TargetMode="External"/><Relationship Id="rId171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227" Type="http://schemas.openxmlformats.org/officeDocument/2006/relationships/hyperlink" Target="https://link.springer.com/article/10.1007/BF00401099" TargetMode="External"/><Relationship Id="rId269" Type="http://schemas.openxmlformats.org/officeDocument/2006/relationships/hyperlink" Target="https://scholar.google.com/scholar_lookup?title=Hydrodynamic+aspects+of+ciliary+and+flagellar+movement&amp;author=Holwill+MEJ&amp;publication_year=1974&amp;pages=pp.+143%E2%80%93176" TargetMode="External"/><Relationship Id="rId33" Type="http://schemas.openxmlformats.org/officeDocument/2006/relationships/hyperlink" Target="https://www.sciencedirect.com/science/article/pii/S0932473998800114" TargetMode="External"/><Relationship Id="rId129" Type="http://schemas.openxmlformats.org/officeDocument/2006/relationships/hyperlink" Target="https://link.springer.com/article/10.1007/BF00401099" TargetMode="External"/><Relationship Id="rId280" Type="http://schemas.openxmlformats.org/officeDocument/2006/relationships/hyperlink" Target="https://www.tandfonline.com/doi/full/10.2216/04-59.1" TargetMode="External"/><Relationship Id="rId336" Type="http://schemas.openxmlformats.org/officeDocument/2006/relationships/hyperlink" Target="https://pubmed.ncbi.nlm.nih.gov/37078083/" TargetMode="External"/><Relationship Id="rId75" Type="http://schemas.openxmlformats.org/officeDocument/2006/relationships/hyperlink" Target="https://royalsocietypublishing.org/doi/10.1098/rspb.2015.0770" TargetMode="External"/><Relationship Id="rId140" Type="http://schemas.openxmlformats.org/officeDocument/2006/relationships/hyperlink" Target="https://www.ingentaconnect.com/content/umrsmas/bullmar/1993/00000053/00000001/art00004" TargetMode="External"/><Relationship Id="rId182" Type="http://schemas.openxmlformats.org/officeDocument/2006/relationships/hyperlink" Target="https://www.int-res.com/articles/meps/60/m060p035.pdf" TargetMode="External"/><Relationship Id="rId6" Type="http://schemas.openxmlformats.org/officeDocument/2006/relationships/hyperlink" Target="https://eol.org/pages/485166" TargetMode="External"/><Relationship Id="rId238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Relationship Id="rId291" Type="http://schemas.openxmlformats.org/officeDocument/2006/relationships/hyperlink" Target="https://www.journals.uchicago.edu/doi/10.2307/1539392" TargetMode="External"/><Relationship Id="rId305" Type="http://schemas.openxmlformats.org/officeDocument/2006/relationships/hyperlink" Target="https://www.jstor.org/stable/3225224" TargetMode="External"/><Relationship Id="rId44" Type="http://schemas.openxmlformats.org/officeDocument/2006/relationships/hyperlink" Target="https://onlinelibrary.wiley.com/doi/10.1002/jez.1400560404" TargetMode="External"/><Relationship Id="rId86" Type="http://schemas.openxmlformats.org/officeDocument/2006/relationships/hyperlink" Target="https://www.pnas.org/doi/full/10.1073/pnas.0903438106" TargetMode="External"/><Relationship Id="rId151" Type="http://schemas.openxmlformats.org/officeDocument/2006/relationships/hyperlink" Target="https://www.ingentaconnect.com/content/umrsmas/bullmar/1993/00000053/00000001/art00004" TargetMode="External"/><Relationship Id="rId193" Type="http://schemas.openxmlformats.org/officeDocument/2006/relationships/hyperlink" Target="https://scholar.google.com/scholar_lookup?title=Bewegungsstudien+an+Peridineen&amp;author=Metzner+P&amp;publication_year=1929&amp;journal=Z.Bot&amp;volume=22&amp;pages=pp.+225%E2%80%93265" TargetMode="External"/><Relationship Id="rId207" Type="http://schemas.openxmlformats.org/officeDocument/2006/relationships/hyperlink" Target="https://www.jstor.org/stable/3225224" TargetMode="External"/><Relationship Id="rId249" Type="http://schemas.openxmlformats.org/officeDocument/2006/relationships/hyperlink" Target="https://scholar.google.com/scholar_lookup?title=Hydrodynamics+of+protozoan+swimming&amp;author=Roberts+AM&amp;publication_year=1981&amp;pages=pp.+5%E2%80%9366" TargetMode="External"/><Relationship Id="rId13" Type="http://schemas.openxmlformats.org/officeDocument/2006/relationships/hyperlink" Target="https://planktonnet.awi.de/index.php?contenttype=image_details&amp;itemid=63181" TargetMode="External"/><Relationship Id="rId109" Type="http://schemas.openxmlformats.org/officeDocument/2006/relationships/hyperlink" Target="https://scholar.google.com/scholar_lookup?title=Motility+in+some+marine+nanoplankton+flagellates&amp;author=Throndsen+J&amp;publication_year=1973&amp;journal=Norwegian+Journal+of+Zoology&amp;volume=21&amp;pages=pp.+193%E2%80%93200" TargetMode="External"/><Relationship Id="rId260" Type="http://schemas.openxmlformats.org/officeDocument/2006/relationships/hyperlink" Target="https://pubmed.ncbi.nlm.nih.gov/4972207/" TargetMode="External"/><Relationship Id="rId316" Type="http://schemas.openxmlformats.org/officeDocument/2006/relationships/hyperlink" Target="https://onlinelibrary.wiley.com/doi/10.1002/cm.20210" TargetMode="External"/><Relationship Id="rId55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97" Type="http://schemas.openxmlformats.org/officeDocument/2006/relationships/hyperlink" Target="https://www.sciencedirect.com/science/article/pii/S000634951304962X" TargetMode="External"/><Relationship Id="rId120" Type="http://schemas.openxmlformats.org/officeDocument/2006/relationships/hyperlink" Target="https://link.springer.com/article/10.1007/BF00401099" TargetMode="External"/><Relationship Id="rId162" Type="http://schemas.openxmlformats.org/officeDocument/2006/relationships/hyperlink" Target="https://scholar.google.com/scholar_lookup?title=Ciliary+activity+and+metachronism+in+protozoa&amp;author=Machemer+H&amp;publication_year=1974&amp;pages=pp.+199%E2%80%93287" TargetMode="External"/><Relationship Id="rId218" Type="http://schemas.openxmlformats.org/officeDocument/2006/relationships/hyperlink" Target="https://www.annualreviews.org/content/journals/10.1146/annurev.fl.09.010177.002011" TargetMode="External"/><Relationship Id="rId271" Type="http://schemas.openxmlformats.org/officeDocument/2006/relationships/hyperlink" Target="https://aslopubs.onlinelibrary.wiley.com/doi/10.4319/lo.1977.22.1.0148" TargetMode="External"/><Relationship Id="rId24" Type="http://schemas.openxmlformats.org/officeDocument/2006/relationships/hyperlink" Target="https://www.sciencedirect.com/science/article/pii/S0932473916301602" TargetMode="External"/><Relationship Id="rId66" Type="http://schemas.openxmlformats.org/officeDocument/2006/relationships/hyperlink" Target="https://scholar.google.com/scholar_lookup?title=A+study+of+spiral+movement+in+the+ciliate+infusoria&amp;author=Bullington+WE&amp;publication_year=1925&amp;journal=Archiv+f%C3%BCr+Protistenkunde&amp;volume=50&amp;pages=pp.+219%E2%80%93274" TargetMode="External"/><Relationship Id="rId131" Type="http://schemas.openxmlformats.org/officeDocument/2006/relationships/hyperlink" Target="https://link.springer.com/article/10.1007/BF00401099" TargetMode="External"/><Relationship Id="rId327" Type="http://schemas.openxmlformats.org/officeDocument/2006/relationships/hyperlink" Target="https://www.sciencedirect.com/science/article/pii/B9780080118468500050" TargetMode="External"/><Relationship Id="rId173" Type="http://schemas.openxmlformats.org/officeDocument/2006/relationships/hyperlink" Target="https://link.springer.com/article/10.1007/BF00401099" TargetMode="External"/><Relationship Id="rId229" Type="http://schemas.openxmlformats.org/officeDocument/2006/relationships/hyperlink" Target="https://scholar.google.com/scholar_lookup?title=Methods+of+ciliary+propulsion+and+their+size+limitations&amp;author=Sleigh+MA&amp;author=Blake+JR&amp;publication_year=1977&amp;pages=pp.+243%E2%80%9325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932473916301602" TargetMode="External"/><Relationship Id="rId13" Type="http://schemas.openxmlformats.org/officeDocument/2006/relationships/hyperlink" Target="https://www.nature.com/articles/s41586-019-1387-9" TargetMode="External"/><Relationship Id="rId18" Type="http://schemas.openxmlformats.org/officeDocument/2006/relationships/hyperlink" Target="https://kb.gcsu.edu/fac-staff/598/" TargetMode="External"/><Relationship Id="rId3" Type="http://schemas.openxmlformats.org/officeDocument/2006/relationships/hyperlink" Target="https://pubmed.ncbi.nlm.nih.gov/16682335/" TargetMode="External"/><Relationship Id="rId21" Type="http://schemas.openxmlformats.org/officeDocument/2006/relationships/hyperlink" Target="https://www.ncbi.nlm.nih.gov/pmc/articles/PMC25631/" TargetMode="External"/><Relationship Id="rId7" Type="http://schemas.openxmlformats.org/officeDocument/2006/relationships/hyperlink" Target="https://pubmed.ncbi.nlm.nih.gov/5043148/" TargetMode="External"/><Relationship Id="rId12" Type="http://schemas.openxmlformats.org/officeDocument/2006/relationships/hyperlink" Target="https://enviromicro-journals.onlinelibrary.wiley.com/doi/10.1111/1462-2920.14710" TargetMode="External"/><Relationship Id="rId17" Type="http://schemas.openxmlformats.org/officeDocument/2006/relationships/hyperlink" Target="https://onlinelibrary.wiley.com/doi/10.1002/jez.1400560404" TargetMode="External"/><Relationship Id="rId25" Type="http://schemas.openxmlformats.org/officeDocument/2006/relationships/hyperlink" Target="https://royalsocietypublishing.org/doi/10.1098/rspb.2015.0770" TargetMode="External"/><Relationship Id="rId2" Type="http://schemas.openxmlformats.org/officeDocument/2006/relationships/hyperlink" Target="https://www.sciencedirect.com/science/article/pii/S0022519387801492" TargetMode="External"/><Relationship Id="rId16" Type="http://schemas.openxmlformats.org/officeDocument/2006/relationships/hyperlink" Target="https://elifesciences.org/articles/44907" TargetMode="External"/><Relationship Id="rId20" Type="http://schemas.openxmlformats.org/officeDocument/2006/relationships/hyperlink" Target="https://bionumbers.hms.harvard.edu/bionumber.aspx?id=112247" TargetMode="External"/><Relationship Id="rId1" Type="http://schemas.openxmlformats.org/officeDocument/2006/relationships/hyperlink" Target="https://www.sciencedirect.com/science/article/pii/S0022519387801492" TargetMode="External"/><Relationship Id="rId6" Type="http://schemas.openxmlformats.org/officeDocument/2006/relationships/hyperlink" Target="https://www.cell.com/fulltext/S0006-3495(98)77806-3" TargetMode="External"/><Relationship Id="rId11" Type="http://schemas.openxmlformats.org/officeDocument/2006/relationships/hyperlink" Target="https://pubmed.ncbi.nlm.nih.gov/7337812/" TargetMode="External"/><Relationship Id="rId24" Type="http://schemas.openxmlformats.org/officeDocument/2006/relationships/hyperlink" Target="https://royalsocietypublishing.org/doi/10.1098/rspb.2015.0770" TargetMode="External"/><Relationship Id="rId5" Type="http://schemas.openxmlformats.org/officeDocument/2006/relationships/hyperlink" Target="https://journals.biologists.com/jeb/article/219/3/445/16745/Feast-or-flee-bioelectrical-regulation-of-feeding" TargetMode="External"/><Relationship Id="rId15" Type="http://schemas.openxmlformats.org/officeDocument/2006/relationships/hyperlink" Target="https://www.sciencedirect.com/science/article/pii/S0960982219311960" TargetMode="External"/><Relationship Id="rId23" Type="http://schemas.openxmlformats.org/officeDocument/2006/relationships/hyperlink" Target="https://pubmed.ncbi.nlm.nih.gov/27251227/" TargetMode="External"/><Relationship Id="rId10" Type="http://schemas.openxmlformats.org/officeDocument/2006/relationships/hyperlink" Target="https://royalsocietypublishing.org/doi/10.1098/rspb.2015.0770" TargetMode="External"/><Relationship Id="rId19" Type="http://schemas.openxmlformats.org/officeDocument/2006/relationships/hyperlink" Target="https://bionumbers.hms.harvard.edu/bionumber.aspx?id=108382" TargetMode="External"/><Relationship Id="rId4" Type="http://schemas.openxmlformats.org/officeDocument/2006/relationships/hyperlink" Target="https://journals.plos.org/plospathogens/article?id=10.1371/journal.ppat.1008738" TargetMode="External"/><Relationship Id="rId9" Type="http://schemas.openxmlformats.org/officeDocument/2006/relationships/hyperlink" Target="https://onlinelibrary.wiley.com/doi/full/10.1111/jpy.12525" TargetMode="External"/><Relationship Id="rId14" Type="http://schemas.openxmlformats.org/officeDocument/2006/relationships/hyperlink" Target="https://www.int-res.com/abstracts/ame/v13/n3/p267-274/" TargetMode="External"/><Relationship Id="rId22" Type="http://schemas.openxmlformats.org/officeDocument/2006/relationships/hyperlink" Target="https://bionumbers.hms.harvard.edu/bionumber.aspx?id=10808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86-019-1387-9" TargetMode="External"/><Relationship Id="rId13" Type="http://schemas.openxmlformats.org/officeDocument/2006/relationships/hyperlink" Target="https://www.ncbi.nlm.nih.gov/pmc/articles/PMC10942582/" TargetMode="External"/><Relationship Id="rId18" Type="http://schemas.openxmlformats.org/officeDocument/2006/relationships/hyperlink" Target="https://pmc.ncbi.nlm.nih.gov/articles/PMC2528943/" TargetMode="External"/><Relationship Id="rId3" Type="http://schemas.openxmlformats.org/officeDocument/2006/relationships/hyperlink" Target="https://royalsocietypublishing.org/doi/10.1098/rspb.2015.0770" TargetMode="External"/><Relationship Id="rId7" Type="http://schemas.openxmlformats.org/officeDocument/2006/relationships/hyperlink" Target="https://journals.biologists.com/jeb/article/219/3/445/16745/Feast-or-flee-bioelectrical-regulation-of-feeding" TargetMode="External"/><Relationship Id="rId12" Type="http://schemas.openxmlformats.org/officeDocument/2006/relationships/hyperlink" Target="https://kb.gcsu.edu/fac-staff/598/" TargetMode="External"/><Relationship Id="rId17" Type="http://schemas.openxmlformats.org/officeDocument/2006/relationships/hyperlink" Target="https://pmc.ncbi.nlm.nih.gov/articles/PMC2528943/" TargetMode="External"/><Relationship Id="rId2" Type="http://schemas.openxmlformats.org/officeDocument/2006/relationships/hyperlink" Target="https://royalsocietypublishing.org/doi/10.1098/rspb.2015.0770" TargetMode="External"/><Relationship Id="rId16" Type="http://schemas.openxmlformats.org/officeDocument/2006/relationships/hyperlink" Target="https://www.ncbi.nlm.nih.gov/pmc/articles/PMC6398456/" TargetMode="External"/><Relationship Id="rId20" Type="http://schemas.openxmlformats.org/officeDocument/2006/relationships/hyperlink" Target="https://pmc.ncbi.nlm.nih.gov/articles/PMC2528943/" TargetMode="External"/><Relationship Id="rId1" Type="http://schemas.openxmlformats.org/officeDocument/2006/relationships/hyperlink" Target="https://onlinelibrary.wiley.com/doi/full/10.1111/jpy.12525" TargetMode="External"/><Relationship Id="rId6" Type="http://schemas.openxmlformats.org/officeDocument/2006/relationships/hyperlink" Target="https://pubmed.ncbi.nlm.nih.gov/7337812/" TargetMode="External"/><Relationship Id="rId11" Type="http://schemas.openxmlformats.org/officeDocument/2006/relationships/hyperlink" Target="https://pubmed.ncbi.nlm.nih.gov/16682335/" TargetMode="External"/><Relationship Id="rId5" Type="http://schemas.openxmlformats.org/officeDocument/2006/relationships/hyperlink" Target="https://www.sciencedirect.com/science/article/pii/S0960982219311960" TargetMode="External"/><Relationship Id="rId15" Type="http://schemas.openxmlformats.org/officeDocument/2006/relationships/hyperlink" Target="https://www.ncbi.nlm.nih.gov/pmc/articles/PMC3751302/" TargetMode="External"/><Relationship Id="rId10" Type="http://schemas.openxmlformats.org/officeDocument/2006/relationships/hyperlink" Target="https://enviromicro-journals.onlinelibrary.wiley.com/doi/10.1111/1462-2920.14710" TargetMode="External"/><Relationship Id="rId19" Type="http://schemas.openxmlformats.org/officeDocument/2006/relationships/hyperlink" Target="https://pmc.ncbi.nlm.nih.gov/articles/PMC2528943/" TargetMode="External"/><Relationship Id="rId4" Type="http://schemas.openxmlformats.org/officeDocument/2006/relationships/hyperlink" Target="https://royalsocietypublishing.org/doi/10.1098/rspb.2015.0770" TargetMode="External"/><Relationship Id="rId9" Type="http://schemas.openxmlformats.org/officeDocument/2006/relationships/hyperlink" Target="https://www.cell.com/fulltext/S0006-3495(98)77806-3" TargetMode="External"/><Relationship Id="rId14" Type="http://schemas.openxmlformats.org/officeDocument/2006/relationships/hyperlink" Target="https://www.ncbi.nlm.nih.gov/pmc/articles/PMC3751302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3274813/" TargetMode="External"/><Relationship Id="rId2" Type="http://schemas.openxmlformats.org/officeDocument/2006/relationships/hyperlink" Target="https://www.pnas.org/doi/full/10.1073/pnas.1802934115" TargetMode="External"/><Relationship Id="rId1" Type="http://schemas.openxmlformats.org/officeDocument/2006/relationships/hyperlink" Target="https://www.science.org/doi/10.1126/science.adk5511" TargetMode="External"/><Relationship Id="rId5" Type="http://schemas.openxmlformats.org/officeDocument/2006/relationships/hyperlink" Target="https://pubmed.ncbi.nlm.nih.gov/10368370/" TargetMode="External"/><Relationship Id="rId4" Type="http://schemas.openxmlformats.org/officeDocument/2006/relationships/hyperlink" Target="https://www.nature.com/articles/s41467-023-43235-w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BF00392958" TargetMode="External"/><Relationship Id="rId3" Type="http://schemas.openxmlformats.org/officeDocument/2006/relationships/hyperlink" Target="https://www.biorxiv.org/content/10.1101/2022.08.19.504465v3" TargetMode="External"/><Relationship Id="rId7" Type="http://schemas.openxmlformats.org/officeDocument/2006/relationships/hyperlink" Target="https://pubmed.ncbi.nlm.nih.gov/5346297/" TargetMode="External"/><Relationship Id="rId2" Type="http://schemas.openxmlformats.org/officeDocument/2006/relationships/hyperlink" Target="https://www.ncbi.nlm.nih.gov/pmc/articles/PMC10942582/" TargetMode="External"/><Relationship Id="rId1" Type="http://schemas.openxmlformats.org/officeDocument/2006/relationships/hyperlink" Target="https://www.nature.com/articles/s41467-023-43235-w" TargetMode="External"/><Relationship Id="rId6" Type="http://schemas.openxmlformats.org/officeDocument/2006/relationships/hyperlink" Target="https://pubmed.ncbi.nlm.nih.gov/33364974/" TargetMode="External"/><Relationship Id="rId5" Type="http://schemas.openxmlformats.org/officeDocument/2006/relationships/hyperlink" Target="https://www.ncbi.nlm.nih.gov/pmc/articles/PMC10418979/" TargetMode="External"/><Relationship Id="rId4" Type="http://schemas.openxmlformats.org/officeDocument/2006/relationships/hyperlink" Target="Dynamic%20Volume%20Changes%20in%20Astrocytes%20Are%20an%20Intrinsic%20Phenomenon%20Mediated%20by%20Bicarbonate%20Ion%20Flu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as.org/doi/10.1073/pnas.0901851107" TargetMode="External"/><Relationship Id="rId2" Type="http://schemas.openxmlformats.org/officeDocument/2006/relationships/hyperlink" Target="https://www.biorxiv.org/content/10.1101/2022.08.19.504465v3" TargetMode="External"/><Relationship Id="rId1" Type="http://schemas.openxmlformats.org/officeDocument/2006/relationships/hyperlink" Target="https://royalsocietypublishing.org/doi/full/10.1098/rsbl.2018.0816" TargetMode="External"/><Relationship Id="rId4" Type="http://schemas.openxmlformats.org/officeDocument/2006/relationships/hyperlink" Target="https://rupress.org/jcb/article/211/4/757/38640/Resonant-microchannel-volume-and-mass-measur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A6B8-15F3-5847-AEBF-152C8BB8EF83}">
  <dimension ref="A1:AE225"/>
  <sheetViews>
    <sheetView zoomScale="67" workbookViewId="0">
      <pane xSplit="1" topLeftCell="B1" activePane="topRight" state="frozen"/>
      <selection pane="topRight" activeCell="B191" sqref="B191"/>
    </sheetView>
  </sheetViews>
  <sheetFormatPr baseColWidth="10" defaultRowHeight="16" x14ac:dyDescent="0.2"/>
  <cols>
    <col min="1" max="1" width="39.6640625" style="12" customWidth="1"/>
    <col min="3" max="3" width="17.1640625" customWidth="1"/>
    <col min="4" max="4" width="26" customWidth="1"/>
    <col min="5" max="6" width="10.83203125" style="10"/>
    <col min="7" max="7" width="35.5" customWidth="1"/>
    <col min="8" max="8" width="14.6640625" customWidth="1"/>
    <col min="9" max="9" width="11.5" customWidth="1"/>
    <col min="10" max="10" width="12" customWidth="1"/>
    <col min="11" max="11" width="14.6640625" customWidth="1"/>
    <col min="12" max="12" width="10.83203125" style="15"/>
    <col min="13" max="13" width="15.83203125" customWidth="1"/>
    <col min="14" max="14" width="15.6640625" customWidth="1"/>
    <col min="15" max="15" width="14.5" customWidth="1"/>
    <col min="16" max="16" width="13.1640625" customWidth="1"/>
    <col min="17" max="17" width="14.5" customWidth="1"/>
    <col min="18" max="18" width="16.6640625" customWidth="1"/>
    <col min="19" max="19" width="12.5" style="11" customWidth="1"/>
    <col min="20" max="20" width="24.83203125" style="12" customWidth="1"/>
  </cols>
  <sheetData>
    <row r="1" spans="1:21" s="14" customFormat="1" ht="20" customHeight="1" x14ac:dyDescent="0.2">
      <c r="A1" s="19" t="s">
        <v>0</v>
      </c>
      <c r="B1" s="20" t="s">
        <v>1</v>
      </c>
      <c r="C1" s="21" t="s">
        <v>2</v>
      </c>
      <c r="D1" s="21" t="s">
        <v>3</v>
      </c>
      <c r="E1" s="22" t="s">
        <v>4</v>
      </c>
      <c r="F1" s="22" t="s">
        <v>5</v>
      </c>
      <c r="G1" s="21" t="s">
        <v>6</v>
      </c>
      <c r="H1" s="20" t="s">
        <v>360</v>
      </c>
      <c r="I1" s="20" t="s">
        <v>361</v>
      </c>
      <c r="J1" s="20" t="s">
        <v>374</v>
      </c>
      <c r="K1" s="20" t="s">
        <v>376</v>
      </c>
      <c r="L1" s="23" t="s">
        <v>7</v>
      </c>
      <c r="M1" s="20" t="s">
        <v>283</v>
      </c>
      <c r="N1" s="20" t="s">
        <v>284</v>
      </c>
      <c r="O1" s="20" t="s">
        <v>285</v>
      </c>
      <c r="P1" s="20" t="s">
        <v>6</v>
      </c>
      <c r="Q1" s="20" t="s">
        <v>351</v>
      </c>
      <c r="R1" s="20" t="s">
        <v>286</v>
      </c>
      <c r="S1" s="24" t="s">
        <v>287</v>
      </c>
      <c r="T1" s="25" t="s">
        <v>288</v>
      </c>
      <c r="U1" s="13"/>
    </row>
    <row r="2" spans="1:21" ht="17" customHeight="1" x14ac:dyDescent="0.2">
      <c r="A2" s="26" t="s">
        <v>277</v>
      </c>
      <c r="B2" s="5" t="s">
        <v>9</v>
      </c>
      <c r="C2" s="6" t="s">
        <v>10</v>
      </c>
      <c r="D2" s="6" t="s">
        <v>13</v>
      </c>
      <c r="E2" s="27">
        <v>60.5</v>
      </c>
      <c r="F2" s="27">
        <v>88200</v>
      </c>
      <c r="G2" s="32" t="s">
        <v>338</v>
      </c>
      <c r="H2" s="5"/>
      <c r="I2" s="5"/>
      <c r="J2" s="5"/>
      <c r="K2" s="5"/>
      <c r="L2" s="28">
        <f>F2/E2</f>
        <v>1457.8512396694214</v>
      </c>
      <c r="M2" s="5">
        <v>70</v>
      </c>
      <c r="N2" s="5">
        <v>44</v>
      </c>
      <c r="O2" s="5">
        <v>19</v>
      </c>
      <c r="P2" s="32" t="s">
        <v>338</v>
      </c>
      <c r="Q2" s="32"/>
      <c r="R2" s="5" t="s">
        <v>280</v>
      </c>
      <c r="S2" s="29">
        <v>0.54285714289999998</v>
      </c>
      <c r="T2" s="30" t="s">
        <v>291</v>
      </c>
    </row>
    <row r="3" spans="1:21" ht="19" customHeight="1" x14ac:dyDescent="0.2">
      <c r="A3" s="26" t="s">
        <v>276</v>
      </c>
      <c r="B3" s="5" t="s">
        <v>9</v>
      </c>
      <c r="C3" s="6" t="s">
        <v>10</v>
      </c>
      <c r="D3" s="6" t="s">
        <v>13</v>
      </c>
      <c r="E3" s="27">
        <v>83</v>
      </c>
      <c r="F3" s="27">
        <v>54800</v>
      </c>
      <c r="G3" s="32" t="s">
        <v>338</v>
      </c>
      <c r="H3" s="5"/>
      <c r="I3" s="5"/>
      <c r="J3" s="5"/>
      <c r="K3" s="5"/>
      <c r="L3" s="28">
        <f t="shared" ref="L3:L66" si="0">F3/E3</f>
        <v>660.24096385542168</v>
      </c>
      <c r="M3" s="5">
        <v>83</v>
      </c>
      <c r="N3" s="5">
        <v>44</v>
      </c>
      <c r="O3" s="5">
        <v>34</v>
      </c>
      <c r="P3" s="32" t="s">
        <v>338</v>
      </c>
      <c r="Q3" s="32"/>
      <c r="R3" s="5" t="s">
        <v>280</v>
      </c>
      <c r="S3" s="29">
        <v>0.81927710840000001</v>
      </c>
      <c r="T3" s="30" t="s">
        <v>291</v>
      </c>
    </row>
    <row r="4" spans="1:21" x14ac:dyDescent="0.2">
      <c r="A4" s="26" t="s">
        <v>289</v>
      </c>
      <c r="B4" s="5" t="s">
        <v>9</v>
      </c>
      <c r="C4" s="6" t="s">
        <v>10</v>
      </c>
      <c r="D4" s="6" t="s">
        <v>19</v>
      </c>
      <c r="E4" s="31">
        <v>440</v>
      </c>
      <c r="F4" s="27">
        <v>110000</v>
      </c>
      <c r="G4" s="32" t="s">
        <v>339</v>
      </c>
      <c r="H4" s="5"/>
      <c r="I4" s="5"/>
      <c r="J4" s="5"/>
      <c r="K4" s="5"/>
      <c r="L4" s="28">
        <f t="shared" si="0"/>
        <v>250</v>
      </c>
      <c r="M4" s="5">
        <v>76</v>
      </c>
      <c r="N4" s="5">
        <v>46</v>
      </c>
      <c r="O4" s="5">
        <v>14</v>
      </c>
      <c r="P4" s="32" t="s">
        <v>339</v>
      </c>
      <c r="Q4" s="32"/>
      <c r="R4" s="5" t="s">
        <v>280</v>
      </c>
      <c r="S4" s="29">
        <v>0.36842105260000002</v>
      </c>
      <c r="T4" s="30" t="s">
        <v>291</v>
      </c>
    </row>
    <row r="5" spans="1:21" x14ac:dyDescent="0.2">
      <c r="A5" s="26" t="s">
        <v>278</v>
      </c>
      <c r="B5" s="5" t="s">
        <v>9</v>
      </c>
      <c r="C5" s="6" t="s">
        <v>10</v>
      </c>
      <c r="D5" s="6" t="s">
        <v>13</v>
      </c>
      <c r="E5" s="27">
        <v>76.400000000000006</v>
      </c>
      <c r="F5" s="27">
        <v>27600</v>
      </c>
      <c r="G5" s="32" t="s">
        <v>338</v>
      </c>
      <c r="H5" s="5"/>
      <c r="I5" s="5"/>
      <c r="J5" s="5"/>
      <c r="K5" s="5"/>
      <c r="L5" s="28">
        <f t="shared" si="0"/>
        <v>361.25654450261777</v>
      </c>
      <c r="M5" s="5">
        <v>60</v>
      </c>
      <c r="N5" s="5">
        <v>38</v>
      </c>
      <c r="O5" s="5">
        <v>27</v>
      </c>
      <c r="P5" s="32" t="s">
        <v>340</v>
      </c>
      <c r="Q5" s="32"/>
      <c r="R5" s="5" t="s">
        <v>280</v>
      </c>
      <c r="S5" s="29">
        <v>0.9</v>
      </c>
      <c r="T5" s="30" t="s">
        <v>292</v>
      </c>
    </row>
    <row r="6" spans="1:21" ht="57" x14ac:dyDescent="0.2">
      <c r="A6" s="26" t="s">
        <v>8</v>
      </c>
      <c r="B6" s="5" t="s">
        <v>9</v>
      </c>
      <c r="C6" s="6" t="s">
        <v>10</v>
      </c>
      <c r="D6" s="6" t="s">
        <v>11</v>
      </c>
      <c r="E6" s="27">
        <v>38</v>
      </c>
      <c r="F6" s="27">
        <v>7350</v>
      </c>
      <c r="G6" s="32" t="s">
        <v>371</v>
      </c>
      <c r="H6" s="32" t="s">
        <v>370</v>
      </c>
      <c r="I6" s="32" t="s">
        <v>369</v>
      </c>
      <c r="J6" s="32"/>
      <c r="K6" s="32"/>
      <c r="L6" s="28">
        <f t="shared" si="0"/>
        <v>193.42105263157896</v>
      </c>
      <c r="M6" s="5">
        <v>25</v>
      </c>
      <c r="N6" s="5">
        <v>17</v>
      </c>
      <c r="O6" s="5">
        <v>10</v>
      </c>
      <c r="P6" s="32" t="s">
        <v>375</v>
      </c>
      <c r="Q6" s="32"/>
      <c r="R6" s="5" t="s">
        <v>281</v>
      </c>
      <c r="S6" s="29">
        <v>0.8</v>
      </c>
      <c r="T6" s="30" t="s">
        <v>292</v>
      </c>
    </row>
    <row r="7" spans="1:21" x14ac:dyDescent="0.2">
      <c r="A7" s="26" t="s">
        <v>82</v>
      </c>
      <c r="B7" s="5" t="s">
        <v>9</v>
      </c>
      <c r="C7" s="6" t="s">
        <v>10</v>
      </c>
      <c r="D7" s="6" t="s">
        <v>13</v>
      </c>
      <c r="E7" s="27">
        <v>43</v>
      </c>
      <c r="F7" s="27">
        <v>6950</v>
      </c>
      <c r="G7" s="32" t="s">
        <v>83</v>
      </c>
      <c r="H7" s="5"/>
      <c r="I7" s="5"/>
      <c r="J7" s="5"/>
      <c r="K7" s="5"/>
      <c r="L7" s="28">
        <f t="shared" si="0"/>
        <v>161.62790697674419</v>
      </c>
      <c r="M7" s="5">
        <v>69</v>
      </c>
      <c r="N7" s="5">
        <v>49</v>
      </c>
      <c r="O7" s="5">
        <v>23</v>
      </c>
      <c r="P7" s="32" t="s">
        <v>400</v>
      </c>
      <c r="Q7" s="32"/>
      <c r="R7" s="5" t="s">
        <v>280</v>
      </c>
      <c r="S7" s="29">
        <v>0.66666666669999997</v>
      </c>
      <c r="T7" s="30" t="s">
        <v>292</v>
      </c>
    </row>
    <row r="8" spans="1:21" x14ac:dyDescent="0.2">
      <c r="A8" s="26" t="s">
        <v>46</v>
      </c>
      <c r="B8" s="5" t="s">
        <v>9</v>
      </c>
      <c r="C8" s="6" t="s">
        <v>10</v>
      </c>
      <c r="D8" s="6" t="s">
        <v>13</v>
      </c>
      <c r="E8" s="27">
        <v>20</v>
      </c>
      <c r="F8" s="27">
        <v>3200</v>
      </c>
      <c r="G8" s="32" t="s">
        <v>333</v>
      </c>
      <c r="H8" s="5"/>
      <c r="I8" s="5"/>
      <c r="J8" s="5"/>
      <c r="K8" s="5"/>
      <c r="L8" s="28">
        <f t="shared" si="0"/>
        <v>160</v>
      </c>
      <c r="M8" s="5">
        <v>21</v>
      </c>
      <c r="N8" s="5">
        <v>19</v>
      </c>
      <c r="O8" s="5">
        <v>11</v>
      </c>
      <c r="P8" s="32" t="s">
        <v>333</v>
      </c>
      <c r="Q8" s="32"/>
      <c r="R8" s="5" t="s">
        <v>280</v>
      </c>
      <c r="S8" s="29">
        <v>1.0476190480000001</v>
      </c>
      <c r="T8" s="30" t="s">
        <v>292</v>
      </c>
    </row>
    <row r="9" spans="1:21" x14ac:dyDescent="0.2">
      <c r="A9" s="26" t="s">
        <v>12</v>
      </c>
      <c r="B9" s="5" t="s">
        <v>9</v>
      </c>
      <c r="C9" s="6" t="s">
        <v>10</v>
      </c>
      <c r="D9" s="6" t="s">
        <v>13</v>
      </c>
      <c r="E9" s="27">
        <v>64</v>
      </c>
      <c r="F9" s="27">
        <v>7347</v>
      </c>
      <c r="G9" s="32" t="s">
        <v>14</v>
      </c>
      <c r="H9" s="5"/>
      <c r="I9" s="5"/>
      <c r="J9" s="5"/>
      <c r="K9" s="5"/>
      <c r="L9" s="28">
        <f t="shared" si="0"/>
        <v>114.796875</v>
      </c>
      <c r="M9" s="5">
        <v>32</v>
      </c>
      <c r="N9" s="5">
        <v>29</v>
      </c>
      <c r="O9" s="5">
        <v>26</v>
      </c>
      <c r="P9" s="32" t="s">
        <v>14</v>
      </c>
      <c r="Q9" s="32"/>
      <c r="R9" s="5" t="s">
        <v>280</v>
      </c>
      <c r="S9" s="29">
        <v>1.625</v>
      </c>
      <c r="T9" s="30" t="s">
        <v>292</v>
      </c>
    </row>
    <row r="10" spans="1:21" x14ac:dyDescent="0.2">
      <c r="A10" s="26" t="s">
        <v>31</v>
      </c>
      <c r="B10" s="5" t="s">
        <v>9</v>
      </c>
      <c r="C10" s="6" t="s">
        <v>10</v>
      </c>
      <c r="D10" s="6" t="s">
        <v>32</v>
      </c>
      <c r="E10" s="27">
        <v>21</v>
      </c>
      <c r="F10" s="27">
        <v>2300</v>
      </c>
      <c r="G10" s="32" t="s">
        <v>363</v>
      </c>
      <c r="H10" s="5"/>
      <c r="I10" s="5"/>
      <c r="J10" s="5"/>
      <c r="K10" s="5"/>
      <c r="L10" s="28">
        <f t="shared" si="0"/>
        <v>109.52380952380952</v>
      </c>
      <c r="M10" s="5">
        <v>11.5</v>
      </c>
      <c r="N10" s="5">
        <v>8.8000000000000007</v>
      </c>
      <c r="O10" s="5">
        <v>8</v>
      </c>
      <c r="P10" s="32" t="s">
        <v>423</v>
      </c>
      <c r="Q10" s="32"/>
      <c r="R10" s="5" t="s">
        <v>280</v>
      </c>
      <c r="S10" s="29">
        <v>1.391304348</v>
      </c>
      <c r="T10" s="30" t="s">
        <v>292</v>
      </c>
    </row>
    <row r="11" spans="1:21" x14ac:dyDescent="0.2">
      <c r="A11" s="26" t="s">
        <v>290</v>
      </c>
      <c r="B11" s="5" t="s">
        <v>9</v>
      </c>
      <c r="C11" s="6" t="s">
        <v>10</v>
      </c>
      <c r="D11" s="6" t="s">
        <v>11</v>
      </c>
      <c r="E11" s="27">
        <v>21</v>
      </c>
      <c r="F11" s="27">
        <v>2100</v>
      </c>
      <c r="G11" s="32" t="s">
        <v>363</v>
      </c>
      <c r="H11" s="5"/>
      <c r="I11" s="5"/>
      <c r="J11" s="5"/>
      <c r="K11" s="5"/>
      <c r="L11" s="28">
        <f t="shared" si="0"/>
        <v>100</v>
      </c>
      <c r="M11" s="5">
        <v>17</v>
      </c>
      <c r="N11" s="5">
        <v>11</v>
      </c>
      <c r="O11" s="5">
        <v>12</v>
      </c>
      <c r="P11" s="32" t="s">
        <v>402</v>
      </c>
      <c r="Q11" s="32"/>
      <c r="R11" s="5" t="s">
        <v>280</v>
      </c>
      <c r="S11" s="29">
        <v>1.411764706</v>
      </c>
      <c r="T11" s="30" t="s">
        <v>292</v>
      </c>
    </row>
    <row r="12" spans="1:21" x14ac:dyDescent="0.2">
      <c r="A12" s="26" t="s">
        <v>15</v>
      </c>
      <c r="B12" s="5" t="s">
        <v>9</v>
      </c>
      <c r="C12" s="6" t="s">
        <v>10</v>
      </c>
      <c r="D12" s="6" t="s">
        <v>13</v>
      </c>
      <c r="E12" s="27">
        <v>118</v>
      </c>
      <c r="F12" s="27">
        <v>6406</v>
      </c>
      <c r="G12" s="32" t="s">
        <v>14</v>
      </c>
      <c r="H12" s="5"/>
      <c r="I12" s="5"/>
      <c r="J12" s="5"/>
      <c r="K12" s="5"/>
      <c r="L12" s="28">
        <f t="shared" si="0"/>
        <v>54.288135593220339</v>
      </c>
      <c r="M12" s="5">
        <v>109</v>
      </c>
      <c r="N12" s="5">
        <v>61</v>
      </c>
      <c r="O12" s="5">
        <v>43</v>
      </c>
      <c r="P12" s="32" t="s">
        <v>14</v>
      </c>
      <c r="Q12" s="32"/>
      <c r="R12" s="5" t="s">
        <v>280</v>
      </c>
      <c r="S12" s="29">
        <v>0.78899082570000001</v>
      </c>
      <c r="T12" s="30" t="s">
        <v>292</v>
      </c>
    </row>
    <row r="13" spans="1:21" x14ac:dyDescent="0.2">
      <c r="A13" s="26" t="s">
        <v>16</v>
      </c>
      <c r="B13" s="5" t="s">
        <v>9</v>
      </c>
      <c r="C13" s="6" t="s">
        <v>10</v>
      </c>
      <c r="D13" s="6" t="s">
        <v>13</v>
      </c>
      <c r="E13" s="27">
        <v>69.5</v>
      </c>
      <c r="F13" s="27">
        <v>3740</v>
      </c>
      <c r="G13" s="32" t="s">
        <v>17</v>
      </c>
      <c r="H13" s="5"/>
      <c r="I13" s="5"/>
      <c r="J13" s="5"/>
      <c r="K13" s="5"/>
      <c r="L13" s="28">
        <f t="shared" si="0"/>
        <v>53.812949640287769</v>
      </c>
      <c r="M13" s="5"/>
      <c r="N13" s="5"/>
      <c r="O13" s="5"/>
      <c r="P13" s="5"/>
      <c r="Q13" s="5"/>
      <c r="R13" s="5"/>
      <c r="S13" s="29"/>
      <c r="T13" s="30" t="s">
        <v>292</v>
      </c>
    </row>
    <row r="14" spans="1:21" x14ac:dyDescent="0.2">
      <c r="A14" s="26" t="s">
        <v>18</v>
      </c>
      <c r="B14" s="5" t="s">
        <v>9</v>
      </c>
      <c r="C14" s="6" t="s">
        <v>10</v>
      </c>
      <c r="D14" s="6" t="s">
        <v>19</v>
      </c>
      <c r="E14" s="27">
        <v>25.7</v>
      </c>
      <c r="F14" s="27">
        <v>1372.7</v>
      </c>
      <c r="G14" s="32" t="s">
        <v>20</v>
      </c>
      <c r="H14" s="5"/>
      <c r="I14" s="5"/>
      <c r="J14" s="5"/>
      <c r="K14" s="5"/>
      <c r="L14" s="28">
        <f t="shared" si="0"/>
        <v>53.41245136186771</v>
      </c>
      <c r="M14" s="5">
        <v>42</v>
      </c>
      <c r="N14" s="5">
        <v>28</v>
      </c>
      <c r="O14" s="5">
        <v>9.5</v>
      </c>
      <c r="P14" s="32" t="s">
        <v>416</v>
      </c>
      <c r="Q14" s="32"/>
      <c r="R14" s="5" t="s">
        <v>280</v>
      </c>
      <c r="S14" s="29">
        <v>0.45238095239999998</v>
      </c>
      <c r="T14" s="30" t="s">
        <v>292</v>
      </c>
    </row>
    <row r="15" spans="1:21" x14ac:dyDescent="0.2">
      <c r="A15" s="26" t="s">
        <v>21</v>
      </c>
      <c r="B15" s="5" t="s">
        <v>9</v>
      </c>
      <c r="C15" s="6" t="s">
        <v>10</v>
      </c>
      <c r="D15" s="6" t="s">
        <v>19</v>
      </c>
      <c r="E15" s="27">
        <v>25</v>
      </c>
      <c r="F15" s="27">
        <v>1175</v>
      </c>
      <c r="G15" s="32" t="s">
        <v>107</v>
      </c>
      <c r="H15" s="32" t="s">
        <v>377</v>
      </c>
      <c r="I15" s="5"/>
      <c r="J15" s="5"/>
      <c r="K15" s="5"/>
      <c r="L15" s="28">
        <f t="shared" si="0"/>
        <v>47</v>
      </c>
      <c r="M15" s="5"/>
      <c r="N15" s="5"/>
      <c r="O15" s="5"/>
      <c r="P15" s="5"/>
      <c r="Q15" s="5"/>
      <c r="R15" s="5"/>
      <c r="S15" s="29"/>
      <c r="T15" s="30" t="s">
        <v>292</v>
      </c>
    </row>
    <row r="16" spans="1:21" x14ac:dyDescent="0.2">
      <c r="A16" s="26" t="s">
        <v>22</v>
      </c>
      <c r="B16" s="5" t="s">
        <v>9</v>
      </c>
      <c r="C16" s="6" t="s">
        <v>10</v>
      </c>
      <c r="D16" s="6" t="s">
        <v>13</v>
      </c>
      <c r="E16" s="27">
        <v>32.5</v>
      </c>
      <c r="F16" s="27">
        <v>995</v>
      </c>
      <c r="G16" s="32" t="s">
        <v>362</v>
      </c>
      <c r="H16" s="32" t="s">
        <v>20</v>
      </c>
      <c r="I16" s="5"/>
      <c r="J16" s="5"/>
      <c r="K16" s="5"/>
      <c r="L16" s="28">
        <f t="shared" si="0"/>
        <v>30.615384615384617</v>
      </c>
      <c r="M16" s="5">
        <v>41</v>
      </c>
      <c r="N16" s="5">
        <v>32</v>
      </c>
      <c r="O16" s="5">
        <v>21</v>
      </c>
      <c r="P16" s="32" t="s">
        <v>415</v>
      </c>
      <c r="Q16" s="32"/>
      <c r="R16" s="5" t="s">
        <v>280</v>
      </c>
      <c r="S16" s="29">
        <v>1.0243902439999999</v>
      </c>
      <c r="T16" s="30" t="s">
        <v>293</v>
      </c>
    </row>
    <row r="17" spans="1:20" x14ac:dyDescent="0.2">
      <c r="A17" s="26" t="s">
        <v>24</v>
      </c>
      <c r="B17" s="5" t="s">
        <v>9</v>
      </c>
      <c r="C17" s="6" t="s">
        <v>10</v>
      </c>
      <c r="D17" s="6" t="s">
        <v>19</v>
      </c>
      <c r="E17" s="27">
        <v>56.9</v>
      </c>
      <c r="F17" s="27">
        <v>1400</v>
      </c>
      <c r="G17" s="32" t="s">
        <v>20</v>
      </c>
      <c r="H17" s="5"/>
      <c r="I17" s="5"/>
      <c r="J17" s="5"/>
      <c r="K17" s="5"/>
      <c r="L17" s="28">
        <f t="shared" si="0"/>
        <v>24.604569420035151</v>
      </c>
      <c r="M17" s="5">
        <v>38</v>
      </c>
      <c r="N17" s="5">
        <v>13</v>
      </c>
      <c r="O17" s="5">
        <v>9.5</v>
      </c>
      <c r="P17" s="32" t="s">
        <v>414</v>
      </c>
      <c r="Q17" s="32"/>
      <c r="R17" s="5" t="s">
        <v>280</v>
      </c>
      <c r="S17" s="29">
        <v>0.5</v>
      </c>
      <c r="T17" s="30" t="s">
        <v>293</v>
      </c>
    </row>
    <row r="18" spans="1:20" x14ac:dyDescent="0.2">
      <c r="A18" s="26" t="s">
        <v>23</v>
      </c>
      <c r="B18" s="5" t="s">
        <v>9</v>
      </c>
      <c r="C18" s="6" t="s">
        <v>10</v>
      </c>
      <c r="D18" s="6" t="s">
        <v>11</v>
      </c>
      <c r="E18" s="27">
        <v>45</v>
      </c>
      <c r="F18" s="27">
        <v>909</v>
      </c>
      <c r="G18" s="32" t="s">
        <v>17</v>
      </c>
      <c r="H18" s="5"/>
      <c r="I18" s="5"/>
      <c r="J18" s="5"/>
      <c r="K18" s="5"/>
      <c r="L18" s="28">
        <f t="shared" si="0"/>
        <v>20.2</v>
      </c>
      <c r="M18" s="5"/>
      <c r="N18" s="5"/>
      <c r="O18" s="5"/>
      <c r="P18" s="5"/>
      <c r="Q18" s="5"/>
      <c r="R18" s="5"/>
      <c r="S18" s="29"/>
      <c r="T18" s="30" t="s">
        <v>293</v>
      </c>
    </row>
    <row r="19" spans="1:20" x14ac:dyDescent="0.2">
      <c r="A19" s="26" t="s">
        <v>25</v>
      </c>
      <c r="B19" s="5" t="s">
        <v>9</v>
      </c>
      <c r="C19" s="6" t="s">
        <v>10</v>
      </c>
      <c r="D19" s="6" t="s">
        <v>19</v>
      </c>
      <c r="E19" s="27">
        <v>107.7</v>
      </c>
      <c r="F19" s="27">
        <v>1842.2</v>
      </c>
      <c r="G19" s="32" t="s">
        <v>20</v>
      </c>
      <c r="H19" s="5"/>
      <c r="I19" s="5"/>
      <c r="J19" s="5"/>
      <c r="K19" s="5"/>
      <c r="L19" s="28">
        <f t="shared" si="0"/>
        <v>17.104921077065924</v>
      </c>
      <c r="M19" s="5">
        <v>151</v>
      </c>
      <c r="N19" s="5">
        <v>50</v>
      </c>
      <c r="O19" s="5">
        <v>5</v>
      </c>
      <c r="P19" s="32" t="s">
        <v>403</v>
      </c>
      <c r="Q19" s="32"/>
      <c r="R19" s="5"/>
      <c r="S19" s="29">
        <v>6.6225165559999993E-2</v>
      </c>
      <c r="T19" s="30" t="s">
        <v>293</v>
      </c>
    </row>
    <row r="20" spans="1:20" x14ac:dyDescent="0.2">
      <c r="A20" s="26" t="s">
        <v>26</v>
      </c>
      <c r="B20" s="5" t="s">
        <v>9</v>
      </c>
      <c r="C20" s="6" t="s">
        <v>10</v>
      </c>
      <c r="D20" s="6" t="s">
        <v>19</v>
      </c>
      <c r="E20" s="27">
        <v>91</v>
      </c>
      <c r="F20" s="27">
        <v>1500</v>
      </c>
      <c r="G20" s="32" t="s">
        <v>27</v>
      </c>
      <c r="H20" s="5"/>
      <c r="I20" s="5"/>
      <c r="J20" s="5"/>
      <c r="K20" s="5"/>
      <c r="L20" s="28">
        <f t="shared" si="0"/>
        <v>16.483516483516482</v>
      </c>
      <c r="M20" s="5"/>
      <c r="N20" s="5"/>
      <c r="O20" s="5"/>
      <c r="P20" s="5"/>
      <c r="Q20" s="5"/>
      <c r="R20" s="5"/>
      <c r="S20" s="29"/>
      <c r="T20" s="30" t="s">
        <v>293</v>
      </c>
    </row>
    <row r="21" spans="1:20" x14ac:dyDescent="0.2">
      <c r="A21" s="26" t="s">
        <v>28</v>
      </c>
      <c r="B21" s="5" t="s">
        <v>9</v>
      </c>
      <c r="C21" s="6" t="s">
        <v>10</v>
      </c>
      <c r="D21" s="6" t="s">
        <v>13</v>
      </c>
      <c r="E21" s="27">
        <v>66</v>
      </c>
      <c r="F21" s="27">
        <v>1053</v>
      </c>
      <c r="G21" s="32" t="s">
        <v>17</v>
      </c>
      <c r="H21" s="5"/>
      <c r="I21" s="5"/>
      <c r="J21" s="5"/>
      <c r="K21" s="5"/>
      <c r="L21" s="28">
        <f t="shared" si="0"/>
        <v>15.954545454545455</v>
      </c>
      <c r="M21" s="5">
        <v>103</v>
      </c>
      <c r="N21" s="5">
        <v>75</v>
      </c>
      <c r="O21" s="5">
        <v>38</v>
      </c>
      <c r="P21" s="32" t="s">
        <v>404</v>
      </c>
      <c r="Q21" s="32"/>
      <c r="R21" s="5" t="s">
        <v>280</v>
      </c>
      <c r="S21" s="29">
        <v>0.73786407769999995</v>
      </c>
      <c r="T21" s="30" t="s">
        <v>294</v>
      </c>
    </row>
    <row r="22" spans="1:20" x14ac:dyDescent="0.2">
      <c r="A22" s="26" t="s">
        <v>29</v>
      </c>
      <c r="B22" s="5" t="s">
        <v>9</v>
      </c>
      <c r="C22" s="6" t="s">
        <v>10</v>
      </c>
      <c r="D22" s="6" t="s">
        <v>30</v>
      </c>
      <c r="E22" s="27">
        <v>143</v>
      </c>
      <c r="F22" s="27">
        <v>2004</v>
      </c>
      <c r="G22" s="32" t="s">
        <v>17</v>
      </c>
      <c r="H22" s="5"/>
      <c r="I22" s="5"/>
      <c r="J22" s="5"/>
      <c r="K22" s="5"/>
      <c r="L22" s="28">
        <f t="shared" si="0"/>
        <v>14.013986013986013</v>
      </c>
      <c r="M22" s="5"/>
      <c r="N22" s="5"/>
      <c r="O22" s="5"/>
      <c r="P22" s="5"/>
      <c r="Q22" s="5"/>
      <c r="R22" s="5"/>
      <c r="S22" s="29"/>
      <c r="T22" s="30" t="s">
        <v>293</v>
      </c>
    </row>
    <row r="23" spans="1:20" x14ac:dyDescent="0.2">
      <c r="A23" s="26" t="s">
        <v>34</v>
      </c>
      <c r="B23" s="5" t="s">
        <v>9</v>
      </c>
      <c r="C23" s="6" t="s">
        <v>10</v>
      </c>
      <c r="D23" s="6" t="s">
        <v>19</v>
      </c>
      <c r="E23" s="27">
        <v>251</v>
      </c>
      <c r="F23" s="27">
        <v>3169.5</v>
      </c>
      <c r="G23" s="32" t="s">
        <v>27</v>
      </c>
      <c r="H23" s="5"/>
      <c r="I23" s="5"/>
      <c r="J23" s="5"/>
      <c r="K23" s="5"/>
      <c r="L23" s="28">
        <f t="shared" si="0"/>
        <v>12.627490039840637</v>
      </c>
      <c r="M23" s="5">
        <v>115</v>
      </c>
      <c r="N23" s="5">
        <v>42</v>
      </c>
      <c r="O23" s="5">
        <v>6</v>
      </c>
      <c r="P23" s="32" t="s">
        <v>405</v>
      </c>
      <c r="Q23" s="32"/>
      <c r="R23" s="5" t="s">
        <v>280</v>
      </c>
      <c r="S23" s="29">
        <v>0.1043478261</v>
      </c>
      <c r="T23" s="30" t="s">
        <v>293</v>
      </c>
    </row>
    <row r="24" spans="1:20" x14ac:dyDescent="0.2">
      <c r="A24" s="26" t="s">
        <v>35</v>
      </c>
      <c r="B24" s="5" t="s">
        <v>9</v>
      </c>
      <c r="C24" s="6" t="s">
        <v>10</v>
      </c>
      <c r="D24" s="6" t="s">
        <v>19</v>
      </c>
      <c r="E24" s="27">
        <v>160</v>
      </c>
      <c r="F24" s="27">
        <v>2013.5</v>
      </c>
      <c r="G24" s="32" t="s">
        <v>27</v>
      </c>
      <c r="H24" s="5"/>
      <c r="I24" s="5"/>
      <c r="J24" s="5"/>
      <c r="K24" s="5"/>
      <c r="L24" s="28">
        <f t="shared" si="0"/>
        <v>12.584375</v>
      </c>
      <c r="M24" s="5"/>
      <c r="N24" s="5"/>
      <c r="O24" s="5"/>
      <c r="P24" s="5"/>
      <c r="Q24" s="5"/>
      <c r="R24" s="5"/>
      <c r="S24" s="29"/>
      <c r="T24" s="30" t="s">
        <v>293</v>
      </c>
    </row>
    <row r="25" spans="1:20" x14ac:dyDescent="0.2">
      <c r="A25" s="26" t="s">
        <v>36</v>
      </c>
      <c r="B25" s="5" t="s">
        <v>9</v>
      </c>
      <c r="C25" s="6" t="s">
        <v>10</v>
      </c>
      <c r="D25" s="6" t="s">
        <v>11</v>
      </c>
      <c r="E25" s="27">
        <v>140</v>
      </c>
      <c r="F25" s="27">
        <v>1732</v>
      </c>
      <c r="G25" s="32" t="s">
        <v>17</v>
      </c>
      <c r="H25" s="32" t="s">
        <v>38</v>
      </c>
      <c r="I25" s="32" t="s">
        <v>377</v>
      </c>
      <c r="J25" s="32" t="s">
        <v>107</v>
      </c>
      <c r="K25" s="5"/>
      <c r="L25" s="28">
        <f t="shared" si="0"/>
        <v>12.371428571428572</v>
      </c>
      <c r="M25" s="5">
        <v>166</v>
      </c>
      <c r="N25" s="5">
        <v>120</v>
      </c>
      <c r="O25" s="5">
        <v>22</v>
      </c>
      <c r="P25" s="32" t="s">
        <v>406</v>
      </c>
      <c r="Q25" s="32"/>
      <c r="R25" s="5" t="s">
        <v>280</v>
      </c>
      <c r="S25" s="29">
        <v>0.26506024099999997</v>
      </c>
      <c r="T25" s="30" t="s">
        <v>293</v>
      </c>
    </row>
    <row r="26" spans="1:20" x14ac:dyDescent="0.2">
      <c r="A26" s="26" t="s">
        <v>37</v>
      </c>
      <c r="B26" s="5" t="s">
        <v>9</v>
      </c>
      <c r="C26" s="6" t="s">
        <v>10</v>
      </c>
      <c r="D26" s="6" t="s">
        <v>19</v>
      </c>
      <c r="E26" s="27">
        <v>325</v>
      </c>
      <c r="F26" s="27">
        <v>4000</v>
      </c>
      <c r="G26" s="32" t="s">
        <v>38</v>
      </c>
      <c r="H26" s="5"/>
      <c r="I26" s="5"/>
      <c r="J26" s="5"/>
      <c r="K26" s="5"/>
      <c r="L26" s="28">
        <f t="shared" si="0"/>
        <v>12.307692307692308</v>
      </c>
      <c r="M26" s="5"/>
      <c r="N26" s="5"/>
      <c r="O26" s="5"/>
      <c r="P26" s="5"/>
      <c r="Q26" s="5"/>
      <c r="R26" s="5"/>
      <c r="S26" s="29"/>
      <c r="T26" s="30" t="s">
        <v>293</v>
      </c>
    </row>
    <row r="27" spans="1:20" x14ac:dyDescent="0.2">
      <c r="A27" s="26" t="s">
        <v>39</v>
      </c>
      <c r="B27" s="5" t="s">
        <v>9</v>
      </c>
      <c r="C27" s="6" t="s">
        <v>10</v>
      </c>
      <c r="D27" s="6" t="s">
        <v>40</v>
      </c>
      <c r="E27" s="27">
        <v>162.5</v>
      </c>
      <c r="F27" s="27">
        <v>2000</v>
      </c>
      <c r="G27" s="32" t="s">
        <v>17</v>
      </c>
      <c r="H27" s="5"/>
      <c r="I27" s="5"/>
      <c r="J27" s="5"/>
      <c r="K27" s="5"/>
      <c r="L27" s="28">
        <f t="shared" si="0"/>
        <v>12.307692307692308</v>
      </c>
      <c r="M27" s="5"/>
      <c r="N27" s="5"/>
      <c r="O27" s="5"/>
      <c r="P27" s="5"/>
      <c r="Q27" s="5"/>
      <c r="R27" s="5"/>
      <c r="S27" s="29"/>
      <c r="T27" s="30" t="s">
        <v>293</v>
      </c>
    </row>
    <row r="28" spans="1:20" x14ac:dyDescent="0.2">
      <c r="A28" s="26" t="s">
        <v>41</v>
      </c>
      <c r="B28" s="5" t="s">
        <v>9</v>
      </c>
      <c r="C28" s="6" t="s">
        <v>10</v>
      </c>
      <c r="D28" s="6" t="s">
        <v>19</v>
      </c>
      <c r="E28" s="27">
        <v>130</v>
      </c>
      <c r="F28" s="27">
        <v>1541.5</v>
      </c>
      <c r="G28" s="32" t="s">
        <v>17</v>
      </c>
      <c r="H28" s="32" t="s">
        <v>27</v>
      </c>
      <c r="I28" s="32"/>
      <c r="J28" s="32"/>
      <c r="K28" s="32"/>
      <c r="L28" s="28">
        <f t="shared" si="0"/>
        <v>11.857692307692307</v>
      </c>
      <c r="M28" s="5">
        <v>176</v>
      </c>
      <c r="N28" s="5">
        <v>84</v>
      </c>
      <c r="O28" s="5">
        <v>12</v>
      </c>
      <c r="P28" s="32" t="s">
        <v>413</v>
      </c>
      <c r="Q28" s="32"/>
      <c r="R28" s="5" t="s">
        <v>280</v>
      </c>
      <c r="S28" s="29">
        <v>0.13636363639999999</v>
      </c>
      <c r="T28" s="30" t="s">
        <v>293</v>
      </c>
    </row>
    <row r="29" spans="1:20" x14ac:dyDescent="0.2">
      <c r="A29" s="26" t="s">
        <v>42</v>
      </c>
      <c r="B29" s="5" t="s">
        <v>9</v>
      </c>
      <c r="C29" s="6" t="s">
        <v>10</v>
      </c>
      <c r="D29" s="6" t="s">
        <v>19</v>
      </c>
      <c r="E29" s="27">
        <v>124</v>
      </c>
      <c r="F29" s="27">
        <v>1392</v>
      </c>
      <c r="G29" s="32" t="s">
        <v>27</v>
      </c>
      <c r="H29" s="32" t="s">
        <v>17</v>
      </c>
      <c r="I29" s="32"/>
      <c r="J29" s="32"/>
      <c r="K29" s="32"/>
      <c r="L29" s="28">
        <f t="shared" si="0"/>
        <v>11.225806451612904</v>
      </c>
      <c r="M29" s="5"/>
      <c r="N29" s="5"/>
      <c r="O29" s="5"/>
      <c r="P29" s="5"/>
      <c r="Q29" s="5"/>
      <c r="R29" s="5"/>
      <c r="S29" s="29"/>
      <c r="T29" s="30" t="s">
        <v>293</v>
      </c>
    </row>
    <row r="30" spans="1:20" x14ac:dyDescent="0.2">
      <c r="A30" s="26" t="s">
        <v>43</v>
      </c>
      <c r="B30" s="5" t="s">
        <v>9</v>
      </c>
      <c r="C30" s="6" t="s">
        <v>10</v>
      </c>
      <c r="D30" s="6" t="s">
        <v>19</v>
      </c>
      <c r="E30" s="27">
        <v>225.5</v>
      </c>
      <c r="F30" s="27">
        <v>2489.35</v>
      </c>
      <c r="G30" s="32" t="s">
        <v>27</v>
      </c>
      <c r="H30" s="32" t="s">
        <v>358</v>
      </c>
      <c r="I30" s="32"/>
      <c r="J30" s="32"/>
      <c r="K30" s="32"/>
      <c r="L30" s="28">
        <f t="shared" si="0"/>
        <v>11.039246119733924</v>
      </c>
      <c r="M30" s="6">
        <v>242</v>
      </c>
      <c r="N30" s="6">
        <v>48</v>
      </c>
      <c r="O30" s="6">
        <v>12</v>
      </c>
      <c r="P30" s="32" t="s">
        <v>372</v>
      </c>
      <c r="Q30" s="32"/>
      <c r="R30" s="5" t="s">
        <v>279</v>
      </c>
      <c r="S30" s="29">
        <v>9.9173553720000002E-2</v>
      </c>
      <c r="T30" s="30" t="s">
        <v>293</v>
      </c>
    </row>
    <row r="31" spans="1:20" x14ac:dyDescent="0.2">
      <c r="A31" s="26" t="s">
        <v>44</v>
      </c>
      <c r="B31" s="5" t="s">
        <v>9</v>
      </c>
      <c r="C31" s="6" t="s">
        <v>10</v>
      </c>
      <c r="D31" s="6" t="s">
        <v>13</v>
      </c>
      <c r="E31" s="27">
        <v>33</v>
      </c>
      <c r="F31" s="27">
        <v>360</v>
      </c>
      <c r="G31" s="32" t="s">
        <v>45</v>
      </c>
      <c r="H31" s="5"/>
      <c r="I31" s="5"/>
      <c r="J31" s="5"/>
      <c r="K31" s="5"/>
      <c r="L31" s="28">
        <f t="shared" si="0"/>
        <v>10.909090909090908</v>
      </c>
      <c r="M31" s="5"/>
      <c r="N31" s="5"/>
      <c r="O31" s="5"/>
      <c r="P31" s="5"/>
      <c r="Q31" s="5"/>
      <c r="R31" s="5"/>
      <c r="S31" s="29"/>
      <c r="T31" s="30" t="s">
        <v>293</v>
      </c>
    </row>
    <row r="32" spans="1:20" x14ac:dyDescent="0.2">
      <c r="A32" s="26" t="s">
        <v>47</v>
      </c>
      <c r="B32" s="5" t="s">
        <v>9</v>
      </c>
      <c r="C32" s="6" t="s">
        <v>10</v>
      </c>
      <c r="D32" s="6" t="s">
        <v>19</v>
      </c>
      <c r="E32" s="27">
        <v>43</v>
      </c>
      <c r="F32" s="27">
        <v>415</v>
      </c>
      <c r="G32" s="32" t="s">
        <v>17</v>
      </c>
      <c r="H32" s="5"/>
      <c r="I32" s="5"/>
      <c r="J32" s="5"/>
      <c r="K32" s="5"/>
      <c r="L32" s="28">
        <f t="shared" si="0"/>
        <v>9.6511627906976738</v>
      </c>
      <c r="M32" s="5">
        <v>142</v>
      </c>
      <c r="N32" s="5">
        <v>96</v>
      </c>
      <c r="O32" s="5">
        <v>14</v>
      </c>
      <c r="P32" s="32" t="s">
        <v>417</v>
      </c>
      <c r="Q32" s="32"/>
      <c r="R32" s="5" t="s">
        <v>280</v>
      </c>
      <c r="S32" s="29">
        <v>0.1971830986</v>
      </c>
      <c r="T32" s="30" t="s">
        <v>293</v>
      </c>
    </row>
    <row r="33" spans="1:20" x14ac:dyDescent="0.2">
      <c r="A33" s="26" t="s">
        <v>48</v>
      </c>
      <c r="B33" s="5" t="s">
        <v>9</v>
      </c>
      <c r="C33" s="6" t="s">
        <v>10</v>
      </c>
      <c r="D33" s="6" t="s">
        <v>19</v>
      </c>
      <c r="E33" s="27">
        <v>126</v>
      </c>
      <c r="F33" s="27">
        <v>1197</v>
      </c>
      <c r="G33" s="32" t="s">
        <v>38</v>
      </c>
      <c r="H33" s="32" t="s">
        <v>378</v>
      </c>
      <c r="I33" s="5"/>
      <c r="J33" s="5"/>
      <c r="K33" s="5"/>
      <c r="L33" s="28">
        <f t="shared" si="0"/>
        <v>9.5</v>
      </c>
      <c r="M33" s="5">
        <v>145</v>
      </c>
      <c r="N33" s="5">
        <v>119</v>
      </c>
      <c r="O33" s="5">
        <v>21</v>
      </c>
      <c r="P33" s="32" t="s">
        <v>378</v>
      </c>
      <c r="Q33" s="32"/>
      <c r="R33" s="5" t="s">
        <v>280</v>
      </c>
      <c r="S33" s="29">
        <v>0.28965517239999999</v>
      </c>
      <c r="T33" s="30" t="s">
        <v>293</v>
      </c>
    </row>
    <row r="34" spans="1:20" x14ac:dyDescent="0.2">
      <c r="A34" s="26" t="s">
        <v>49</v>
      </c>
      <c r="B34" s="5" t="s">
        <v>9</v>
      </c>
      <c r="C34" s="6" t="s">
        <v>10</v>
      </c>
      <c r="D34" s="6" t="s">
        <v>19</v>
      </c>
      <c r="E34" s="27">
        <v>28</v>
      </c>
      <c r="F34" s="27">
        <v>250</v>
      </c>
      <c r="G34" s="32" t="s">
        <v>50</v>
      </c>
      <c r="H34" s="5"/>
      <c r="I34" s="5"/>
      <c r="J34" s="5"/>
      <c r="K34" s="5"/>
      <c r="L34" s="28">
        <f t="shared" si="0"/>
        <v>8.9285714285714288</v>
      </c>
      <c r="M34" s="5"/>
      <c r="N34" s="5"/>
      <c r="O34" s="5"/>
      <c r="P34" s="5"/>
      <c r="Q34" s="5"/>
      <c r="R34" s="5"/>
      <c r="S34" s="29"/>
      <c r="T34" s="30" t="s">
        <v>293</v>
      </c>
    </row>
    <row r="35" spans="1:20" x14ac:dyDescent="0.2">
      <c r="A35" s="26" t="s">
        <v>51</v>
      </c>
      <c r="B35" s="5" t="s">
        <v>9</v>
      </c>
      <c r="C35" s="6" t="s">
        <v>10</v>
      </c>
      <c r="D35" s="6" t="s">
        <v>13</v>
      </c>
      <c r="E35" s="27">
        <v>100</v>
      </c>
      <c r="F35" s="27">
        <v>810</v>
      </c>
      <c r="G35" s="32" t="s">
        <v>45</v>
      </c>
      <c r="H35" s="5"/>
      <c r="I35" s="5"/>
      <c r="J35" s="5"/>
      <c r="K35" s="5"/>
      <c r="L35" s="28">
        <f t="shared" si="0"/>
        <v>8.1</v>
      </c>
      <c r="M35" s="5">
        <v>111</v>
      </c>
      <c r="N35" s="5">
        <v>63</v>
      </c>
      <c r="O35" s="5">
        <v>27</v>
      </c>
      <c r="P35" s="32" t="s">
        <v>422</v>
      </c>
      <c r="Q35" s="32"/>
      <c r="R35" s="5" t="s">
        <v>280</v>
      </c>
      <c r="S35" s="29">
        <v>0.48648648649999998</v>
      </c>
      <c r="T35" s="30" t="s">
        <v>293</v>
      </c>
    </row>
    <row r="36" spans="1:20" x14ac:dyDescent="0.2">
      <c r="A36" s="26" t="s">
        <v>52</v>
      </c>
      <c r="B36" s="5" t="s">
        <v>9</v>
      </c>
      <c r="C36" s="6" t="s">
        <v>10</v>
      </c>
      <c r="D36" s="6" t="s">
        <v>19</v>
      </c>
      <c r="E36" s="27">
        <v>115</v>
      </c>
      <c r="F36" s="27">
        <v>930</v>
      </c>
      <c r="G36" s="32" t="s">
        <v>17</v>
      </c>
      <c r="H36" s="5"/>
      <c r="I36" s="5"/>
      <c r="J36" s="5"/>
      <c r="K36" s="5"/>
      <c r="L36" s="28">
        <f t="shared" si="0"/>
        <v>8.0869565217391308</v>
      </c>
      <c r="M36" s="5"/>
      <c r="N36" s="5"/>
      <c r="O36" s="5"/>
      <c r="P36" s="5"/>
      <c r="Q36" s="5"/>
      <c r="R36" s="5"/>
      <c r="S36" s="29"/>
      <c r="T36" s="30" t="s">
        <v>293</v>
      </c>
    </row>
    <row r="37" spans="1:20" x14ac:dyDescent="0.2">
      <c r="A37" s="26" t="s">
        <v>53</v>
      </c>
      <c r="B37" s="5" t="s">
        <v>9</v>
      </c>
      <c r="C37" s="6" t="s">
        <v>10</v>
      </c>
      <c r="D37" s="6" t="s">
        <v>19</v>
      </c>
      <c r="E37" s="27">
        <v>90</v>
      </c>
      <c r="F37" s="27">
        <v>700</v>
      </c>
      <c r="G37" s="32" t="s">
        <v>17</v>
      </c>
      <c r="H37" s="5"/>
      <c r="I37" s="5"/>
      <c r="J37" s="5"/>
      <c r="K37" s="5"/>
      <c r="L37" s="28">
        <f t="shared" si="0"/>
        <v>7.7777777777777777</v>
      </c>
      <c r="M37" s="5">
        <v>46</v>
      </c>
      <c r="N37" s="5">
        <v>36</v>
      </c>
      <c r="O37" s="5">
        <v>7.7</v>
      </c>
      <c r="P37" s="32" t="s">
        <v>421</v>
      </c>
      <c r="Q37" s="32"/>
      <c r="R37" s="5" t="s">
        <v>280</v>
      </c>
      <c r="S37" s="29">
        <v>0.33478260869999998</v>
      </c>
      <c r="T37" s="30" t="s">
        <v>293</v>
      </c>
    </row>
    <row r="38" spans="1:20" x14ac:dyDescent="0.2">
      <c r="A38" s="26" t="s">
        <v>54</v>
      </c>
      <c r="B38" s="5" t="s">
        <v>9</v>
      </c>
      <c r="C38" s="6" t="s">
        <v>10</v>
      </c>
      <c r="D38" s="6" t="s">
        <v>13</v>
      </c>
      <c r="E38" s="27">
        <v>75</v>
      </c>
      <c r="F38" s="27">
        <v>570</v>
      </c>
      <c r="G38" s="32" t="s">
        <v>45</v>
      </c>
      <c r="H38" s="5"/>
      <c r="I38" s="5"/>
      <c r="J38" s="5"/>
      <c r="K38" s="5"/>
      <c r="L38" s="28">
        <f t="shared" si="0"/>
        <v>7.6</v>
      </c>
      <c r="M38" s="5">
        <v>57</v>
      </c>
      <c r="N38" s="5">
        <v>30</v>
      </c>
      <c r="O38" s="5">
        <v>10</v>
      </c>
      <c r="P38" s="32" t="s">
        <v>412</v>
      </c>
      <c r="Q38" s="32"/>
      <c r="R38" s="5" t="s">
        <v>280</v>
      </c>
      <c r="S38" s="29">
        <v>0.35087719299999998</v>
      </c>
      <c r="T38" s="30" t="s">
        <v>293</v>
      </c>
    </row>
    <row r="39" spans="1:20" x14ac:dyDescent="0.2">
      <c r="A39" s="26" t="s">
        <v>55</v>
      </c>
      <c r="B39" s="5" t="s">
        <v>9</v>
      </c>
      <c r="C39" s="6" t="s">
        <v>10</v>
      </c>
      <c r="D39" s="6" t="s">
        <v>19</v>
      </c>
      <c r="E39" s="27">
        <v>77</v>
      </c>
      <c r="F39" s="27">
        <v>570</v>
      </c>
      <c r="G39" s="32" t="s">
        <v>56</v>
      </c>
      <c r="H39" s="5"/>
      <c r="I39" s="5"/>
      <c r="J39" s="5"/>
      <c r="K39" s="5"/>
      <c r="L39" s="28">
        <f t="shared" si="0"/>
        <v>7.4025974025974026</v>
      </c>
      <c r="M39" s="5">
        <v>55</v>
      </c>
      <c r="N39" s="5">
        <v>30</v>
      </c>
      <c r="O39" s="5">
        <v>5.4</v>
      </c>
      <c r="P39" s="32" t="s">
        <v>282</v>
      </c>
      <c r="Q39" s="32"/>
      <c r="R39" s="5" t="s">
        <v>280</v>
      </c>
      <c r="S39" s="29">
        <v>0.19636363640000001</v>
      </c>
      <c r="T39" s="30" t="s">
        <v>293</v>
      </c>
    </row>
    <row r="40" spans="1:20" x14ac:dyDescent="0.2">
      <c r="A40" s="26" t="s">
        <v>57</v>
      </c>
      <c r="B40" s="5" t="s">
        <v>9</v>
      </c>
      <c r="C40" s="6" t="s">
        <v>10</v>
      </c>
      <c r="D40" s="6" t="s">
        <v>32</v>
      </c>
      <c r="E40" s="27">
        <v>94.5</v>
      </c>
      <c r="F40" s="27">
        <v>686</v>
      </c>
      <c r="G40" s="32" t="s">
        <v>17</v>
      </c>
      <c r="H40" s="5"/>
      <c r="I40" s="5"/>
      <c r="J40" s="5"/>
      <c r="K40" s="5"/>
      <c r="L40" s="28">
        <f t="shared" si="0"/>
        <v>7.2592592592592595</v>
      </c>
      <c r="M40" s="5">
        <v>69</v>
      </c>
      <c r="N40" s="5">
        <v>38</v>
      </c>
      <c r="O40" s="5">
        <v>8.4</v>
      </c>
      <c r="P40" s="32" t="s">
        <v>420</v>
      </c>
      <c r="Q40" s="32"/>
      <c r="R40" s="5" t="s">
        <v>280</v>
      </c>
      <c r="S40" s="29">
        <v>0.24347826089999999</v>
      </c>
      <c r="T40" s="30" t="s">
        <v>293</v>
      </c>
    </row>
    <row r="41" spans="1:20" x14ac:dyDescent="0.2">
      <c r="A41" s="26" t="s">
        <v>58</v>
      </c>
      <c r="B41" s="5" t="s">
        <v>9</v>
      </c>
      <c r="C41" s="6" t="s">
        <v>10</v>
      </c>
      <c r="D41" s="6" t="s">
        <v>13</v>
      </c>
      <c r="E41" s="27">
        <v>150</v>
      </c>
      <c r="F41" s="27">
        <v>1080</v>
      </c>
      <c r="G41" s="32" t="s">
        <v>45</v>
      </c>
      <c r="H41" s="5"/>
      <c r="I41" s="5"/>
      <c r="J41" s="5"/>
      <c r="K41" s="5"/>
      <c r="L41" s="28">
        <f t="shared" si="0"/>
        <v>7.2</v>
      </c>
      <c r="M41" s="5"/>
      <c r="N41" s="5"/>
      <c r="O41" s="5"/>
      <c r="P41" s="5"/>
      <c r="Q41" s="5"/>
      <c r="R41" s="5"/>
      <c r="S41" s="29"/>
      <c r="T41" s="30" t="s">
        <v>293</v>
      </c>
    </row>
    <row r="42" spans="1:20" x14ac:dyDescent="0.2">
      <c r="A42" s="26" t="s">
        <v>59</v>
      </c>
      <c r="B42" s="5" t="s">
        <v>9</v>
      </c>
      <c r="C42" s="6" t="s">
        <v>10</v>
      </c>
      <c r="D42" s="6" t="s">
        <v>19</v>
      </c>
      <c r="E42" s="27">
        <v>244</v>
      </c>
      <c r="F42" s="27">
        <v>1650</v>
      </c>
      <c r="G42" s="32" t="s">
        <v>17</v>
      </c>
      <c r="H42" s="32" t="s">
        <v>27</v>
      </c>
      <c r="I42" s="32"/>
      <c r="J42" s="32"/>
      <c r="K42" s="32"/>
      <c r="L42" s="28">
        <f t="shared" si="0"/>
        <v>6.7622950819672134</v>
      </c>
      <c r="M42" s="5"/>
      <c r="N42" s="5"/>
      <c r="O42" s="5"/>
      <c r="P42" s="5"/>
      <c r="Q42" s="5"/>
      <c r="R42" s="5"/>
      <c r="S42" s="29"/>
      <c r="T42" s="30" t="s">
        <v>293</v>
      </c>
    </row>
    <row r="43" spans="1:20" x14ac:dyDescent="0.2">
      <c r="A43" s="26" t="s">
        <v>60</v>
      </c>
      <c r="B43" s="5" t="s">
        <v>9</v>
      </c>
      <c r="C43" s="6" t="s">
        <v>10</v>
      </c>
      <c r="D43" s="6" t="s">
        <v>32</v>
      </c>
      <c r="E43" s="27">
        <v>78</v>
      </c>
      <c r="F43" s="27">
        <v>523</v>
      </c>
      <c r="G43" s="32" t="s">
        <v>17</v>
      </c>
      <c r="H43" s="5"/>
      <c r="I43" s="5"/>
      <c r="J43" s="5"/>
      <c r="K43" s="5"/>
      <c r="L43" s="28">
        <f t="shared" si="0"/>
        <v>6.7051282051282053</v>
      </c>
      <c r="M43" s="5"/>
      <c r="N43" s="5"/>
      <c r="O43" s="5"/>
      <c r="P43" s="5"/>
      <c r="Q43" s="5"/>
      <c r="R43" s="5"/>
      <c r="S43" s="29"/>
      <c r="T43" s="30" t="s">
        <v>293</v>
      </c>
    </row>
    <row r="44" spans="1:20" x14ac:dyDescent="0.2">
      <c r="A44" s="26" t="s">
        <v>61</v>
      </c>
      <c r="B44" s="5" t="s">
        <v>9</v>
      </c>
      <c r="C44" s="6" t="s">
        <v>10</v>
      </c>
      <c r="D44" s="6" t="s">
        <v>19</v>
      </c>
      <c r="E44" s="27">
        <v>72.8</v>
      </c>
      <c r="F44" s="27">
        <v>475.6</v>
      </c>
      <c r="G44" s="32" t="s">
        <v>107</v>
      </c>
      <c r="H44" s="32" t="s">
        <v>377</v>
      </c>
      <c r="I44" s="32" t="s">
        <v>372</v>
      </c>
      <c r="J44" s="5"/>
      <c r="K44" s="5"/>
      <c r="L44" s="28">
        <f t="shared" si="0"/>
        <v>6.5329670329670337</v>
      </c>
      <c r="M44" s="6">
        <v>55.7</v>
      </c>
      <c r="N44" s="6">
        <v>20</v>
      </c>
      <c r="O44" s="6">
        <v>7</v>
      </c>
      <c r="P44" s="32" t="s">
        <v>372</v>
      </c>
      <c r="Q44" s="32"/>
      <c r="R44" s="5" t="s">
        <v>279</v>
      </c>
      <c r="S44" s="29">
        <v>0.25134649910000001</v>
      </c>
      <c r="T44" s="30" t="s">
        <v>293</v>
      </c>
    </row>
    <row r="45" spans="1:20" x14ac:dyDescent="0.2">
      <c r="A45" s="26" t="s">
        <v>62</v>
      </c>
      <c r="B45" s="5" t="s">
        <v>9</v>
      </c>
      <c r="C45" s="6" t="s">
        <v>10</v>
      </c>
      <c r="D45" s="6" t="s">
        <v>19</v>
      </c>
      <c r="E45" s="27">
        <v>124</v>
      </c>
      <c r="F45" s="27">
        <v>784</v>
      </c>
      <c r="G45" s="32" t="s">
        <v>63</v>
      </c>
      <c r="H45" s="5"/>
      <c r="I45" s="5"/>
      <c r="J45" s="5"/>
      <c r="K45" s="5"/>
      <c r="L45" s="28">
        <f t="shared" si="0"/>
        <v>6.32258064516129</v>
      </c>
      <c r="M45" s="5"/>
      <c r="N45" s="5"/>
      <c r="O45" s="5"/>
      <c r="P45" s="5"/>
      <c r="Q45" s="5"/>
      <c r="R45" s="5"/>
      <c r="S45" s="29"/>
      <c r="T45" s="30" t="s">
        <v>293</v>
      </c>
    </row>
    <row r="46" spans="1:20" x14ac:dyDescent="0.2">
      <c r="A46" s="26" t="s">
        <v>64</v>
      </c>
      <c r="B46" s="5" t="s">
        <v>9</v>
      </c>
      <c r="C46" s="6" t="s">
        <v>10</v>
      </c>
      <c r="D46" s="6" t="s">
        <v>13</v>
      </c>
      <c r="E46" s="27">
        <v>202</v>
      </c>
      <c r="F46" s="27">
        <v>1250</v>
      </c>
      <c r="G46" s="32" t="s">
        <v>17</v>
      </c>
      <c r="H46" s="5"/>
      <c r="I46" s="5"/>
      <c r="J46" s="5"/>
      <c r="K46" s="5"/>
      <c r="L46" s="28">
        <f t="shared" si="0"/>
        <v>6.1881188118811883</v>
      </c>
      <c r="M46" s="5">
        <v>84</v>
      </c>
      <c r="N46" s="5">
        <v>67</v>
      </c>
      <c r="O46" s="5">
        <v>31</v>
      </c>
      <c r="P46" s="32" t="s">
        <v>418</v>
      </c>
      <c r="Q46" s="32"/>
      <c r="R46" s="5" t="s">
        <v>280</v>
      </c>
      <c r="S46" s="29">
        <v>0.7380952381</v>
      </c>
      <c r="T46" s="30" t="s">
        <v>294</v>
      </c>
    </row>
    <row r="47" spans="1:20" ht="20" customHeight="1" x14ac:dyDescent="0.2">
      <c r="A47" s="26" t="s">
        <v>65</v>
      </c>
      <c r="B47" s="5" t="s">
        <v>9</v>
      </c>
      <c r="C47" s="6" t="s">
        <v>10</v>
      </c>
      <c r="D47" s="6" t="s">
        <v>32</v>
      </c>
      <c r="E47" s="27">
        <v>175</v>
      </c>
      <c r="F47" s="27">
        <v>1066</v>
      </c>
      <c r="G47" s="32" t="s">
        <v>17</v>
      </c>
      <c r="H47" s="5"/>
      <c r="I47" s="5"/>
      <c r="J47" s="5"/>
      <c r="K47" s="5"/>
      <c r="L47" s="28">
        <f t="shared" si="0"/>
        <v>6.0914285714285716</v>
      </c>
      <c r="M47" s="5">
        <v>123</v>
      </c>
      <c r="N47" s="5">
        <v>95</v>
      </c>
      <c r="O47" s="5">
        <v>4</v>
      </c>
      <c r="P47" s="32" t="s">
        <v>419</v>
      </c>
      <c r="Q47" s="32"/>
      <c r="R47" s="5" t="s">
        <v>280</v>
      </c>
      <c r="S47" s="29">
        <v>6.5040650409999998E-2</v>
      </c>
      <c r="T47" s="30" t="s">
        <v>293</v>
      </c>
    </row>
    <row r="48" spans="1:20" x14ac:dyDescent="0.2">
      <c r="A48" s="26" t="s">
        <v>66</v>
      </c>
      <c r="B48" s="5" t="s">
        <v>9</v>
      </c>
      <c r="C48" s="6" t="s">
        <v>10</v>
      </c>
      <c r="D48" s="6" t="s">
        <v>13</v>
      </c>
      <c r="E48" s="27">
        <v>60</v>
      </c>
      <c r="F48" s="27">
        <v>330</v>
      </c>
      <c r="G48" s="32" t="s">
        <v>45</v>
      </c>
      <c r="H48" s="5"/>
      <c r="I48" s="5"/>
      <c r="J48" s="5"/>
      <c r="K48" s="5"/>
      <c r="L48" s="28">
        <f t="shared" si="0"/>
        <v>5.5</v>
      </c>
      <c r="M48" s="5"/>
      <c r="N48" s="5"/>
      <c r="O48" s="5"/>
      <c r="P48" s="5"/>
      <c r="Q48" s="5"/>
      <c r="R48" s="5"/>
      <c r="S48" s="29"/>
      <c r="T48" s="30" t="s">
        <v>293</v>
      </c>
    </row>
    <row r="49" spans="1:20" x14ac:dyDescent="0.2">
      <c r="A49" s="26" t="s">
        <v>67</v>
      </c>
      <c r="B49" s="5" t="s">
        <v>9</v>
      </c>
      <c r="C49" s="6" t="s">
        <v>10</v>
      </c>
      <c r="D49" s="6" t="s">
        <v>13</v>
      </c>
      <c r="E49" s="27">
        <v>82</v>
      </c>
      <c r="F49" s="27">
        <v>446</v>
      </c>
      <c r="G49" s="32" t="s">
        <v>383</v>
      </c>
      <c r="H49" s="32" t="s">
        <v>382</v>
      </c>
      <c r="I49" s="5"/>
      <c r="J49" s="5"/>
      <c r="K49" s="5"/>
      <c r="L49" s="28">
        <f t="shared" si="0"/>
        <v>5.4390243902439028</v>
      </c>
      <c r="M49" s="5">
        <v>82</v>
      </c>
      <c r="N49" s="5">
        <v>44</v>
      </c>
      <c r="O49" s="5">
        <v>30</v>
      </c>
      <c r="P49" s="32" t="s">
        <v>411</v>
      </c>
      <c r="Q49" s="32"/>
      <c r="R49" s="5" t="s">
        <v>280</v>
      </c>
      <c r="S49" s="29">
        <v>0.73170731710000003</v>
      </c>
      <c r="T49" s="30" t="s">
        <v>294</v>
      </c>
    </row>
    <row r="50" spans="1:20" x14ac:dyDescent="0.2">
      <c r="A50" s="26" t="s">
        <v>68</v>
      </c>
      <c r="B50" s="5" t="s">
        <v>9</v>
      </c>
      <c r="C50" s="6" t="s">
        <v>10</v>
      </c>
      <c r="D50" s="6" t="s">
        <v>19</v>
      </c>
      <c r="E50" s="27">
        <v>200</v>
      </c>
      <c r="F50" s="27">
        <v>975</v>
      </c>
      <c r="G50" s="32" t="s">
        <v>379</v>
      </c>
      <c r="H50" s="32" t="s">
        <v>107</v>
      </c>
      <c r="I50" s="32" t="s">
        <v>377</v>
      </c>
      <c r="J50" s="5"/>
      <c r="K50" s="5"/>
      <c r="L50" s="28">
        <f t="shared" si="0"/>
        <v>4.875</v>
      </c>
      <c r="M50" s="5"/>
      <c r="N50" s="5"/>
      <c r="O50" s="5"/>
      <c r="P50" s="5"/>
      <c r="Q50" s="5"/>
      <c r="R50" s="5"/>
      <c r="S50" s="29"/>
      <c r="T50" s="30" t="s">
        <v>293</v>
      </c>
    </row>
    <row r="51" spans="1:20" x14ac:dyDescent="0.2">
      <c r="A51" s="26" t="s">
        <v>69</v>
      </c>
      <c r="B51" s="5" t="s">
        <v>9</v>
      </c>
      <c r="C51" s="6" t="s">
        <v>10</v>
      </c>
      <c r="D51" s="6" t="s">
        <v>13</v>
      </c>
      <c r="E51" s="27">
        <v>80</v>
      </c>
      <c r="F51" s="27">
        <v>390</v>
      </c>
      <c r="G51" s="32" t="s">
        <v>45</v>
      </c>
      <c r="H51" s="5"/>
      <c r="I51" s="5"/>
      <c r="J51" s="5"/>
      <c r="K51" s="5"/>
      <c r="L51" s="28">
        <f t="shared" si="0"/>
        <v>4.875</v>
      </c>
      <c r="M51" s="5">
        <v>87</v>
      </c>
      <c r="N51" s="5">
        <v>44</v>
      </c>
      <c r="O51" s="5">
        <v>19.399999999999999</v>
      </c>
      <c r="P51" s="32" t="s">
        <v>410</v>
      </c>
      <c r="Q51" s="32"/>
      <c r="R51" s="5" t="s">
        <v>280</v>
      </c>
      <c r="S51" s="29">
        <v>0.44597701150000002</v>
      </c>
      <c r="T51" s="30" t="s">
        <v>293</v>
      </c>
    </row>
    <row r="52" spans="1:20" x14ac:dyDescent="0.2">
      <c r="A52" s="26" t="s">
        <v>70</v>
      </c>
      <c r="B52" s="5" t="s">
        <v>9</v>
      </c>
      <c r="C52" s="6" t="s">
        <v>10</v>
      </c>
      <c r="D52" s="6" t="s">
        <v>13</v>
      </c>
      <c r="E52" s="27">
        <v>107</v>
      </c>
      <c r="F52" s="27">
        <v>476.5</v>
      </c>
      <c r="G52" s="32" t="s">
        <v>17</v>
      </c>
      <c r="H52" s="5"/>
      <c r="I52" s="5"/>
      <c r="J52" s="5"/>
      <c r="K52" s="5"/>
      <c r="L52" s="28">
        <f t="shared" si="0"/>
        <v>4.4532710280373831</v>
      </c>
      <c r="M52" s="5"/>
      <c r="N52" s="5"/>
      <c r="O52" s="5"/>
      <c r="P52" s="5"/>
      <c r="Q52" s="5"/>
      <c r="R52" s="5"/>
      <c r="S52" s="29"/>
      <c r="T52" s="30" t="s">
        <v>293</v>
      </c>
    </row>
    <row r="53" spans="1:20" x14ac:dyDescent="0.2">
      <c r="A53" s="26" t="s">
        <v>71</v>
      </c>
      <c r="B53" s="5" t="s">
        <v>9</v>
      </c>
      <c r="C53" s="6" t="s">
        <v>10</v>
      </c>
      <c r="D53" s="6" t="s">
        <v>13</v>
      </c>
      <c r="E53" s="27">
        <v>167</v>
      </c>
      <c r="F53" s="27">
        <v>737.5</v>
      </c>
      <c r="G53" s="32" t="s">
        <v>17</v>
      </c>
      <c r="H53" s="32" t="s">
        <v>38</v>
      </c>
      <c r="I53" s="5"/>
      <c r="J53" s="5"/>
      <c r="K53" s="5"/>
      <c r="L53" s="28">
        <f t="shared" si="0"/>
        <v>4.4161676646706587</v>
      </c>
      <c r="M53" s="5"/>
      <c r="N53" s="5"/>
      <c r="O53" s="5"/>
      <c r="P53" s="5"/>
      <c r="Q53" s="5"/>
      <c r="R53" s="5"/>
      <c r="S53" s="29"/>
      <c r="T53" s="30" t="s">
        <v>293</v>
      </c>
    </row>
    <row r="54" spans="1:20" x14ac:dyDescent="0.2">
      <c r="A54" s="26" t="s">
        <v>72</v>
      </c>
      <c r="B54" s="5" t="s">
        <v>9</v>
      </c>
      <c r="C54" s="6" t="s">
        <v>10</v>
      </c>
      <c r="D54" s="6" t="s">
        <v>19</v>
      </c>
      <c r="E54" s="27">
        <v>46.7</v>
      </c>
      <c r="F54" s="27">
        <v>204.5</v>
      </c>
      <c r="G54" s="32" t="s">
        <v>73</v>
      </c>
      <c r="H54" s="5"/>
      <c r="I54" s="5"/>
      <c r="J54" s="5"/>
      <c r="K54" s="5"/>
      <c r="L54" s="28">
        <f t="shared" si="0"/>
        <v>4.3790149892933616</v>
      </c>
      <c r="M54" s="6">
        <v>46.7</v>
      </c>
      <c r="N54" s="5"/>
      <c r="O54" s="5">
        <v>5.85</v>
      </c>
      <c r="P54" s="32" t="s">
        <v>73</v>
      </c>
      <c r="Q54" s="32" t="s">
        <v>401</v>
      </c>
      <c r="R54" s="5" t="s">
        <v>281</v>
      </c>
      <c r="S54" s="29">
        <v>0.25053533189999999</v>
      </c>
      <c r="T54" s="30" t="s">
        <v>293</v>
      </c>
    </row>
    <row r="55" spans="1:20" x14ac:dyDescent="0.2">
      <c r="A55" s="26" t="s">
        <v>74</v>
      </c>
      <c r="B55" s="5" t="s">
        <v>9</v>
      </c>
      <c r="C55" s="6" t="s">
        <v>10</v>
      </c>
      <c r="D55" s="6" t="s">
        <v>19</v>
      </c>
      <c r="E55" s="27">
        <v>378.5</v>
      </c>
      <c r="F55" s="27">
        <v>1632</v>
      </c>
      <c r="G55" s="32" t="s">
        <v>17</v>
      </c>
      <c r="H55" s="5"/>
      <c r="I55" s="5"/>
      <c r="J55" s="5"/>
      <c r="K55" s="5"/>
      <c r="L55" s="28">
        <f t="shared" si="0"/>
        <v>4.3117569352708056</v>
      </c>
      <c r="M55" s="5"/>
      <c r="N55" s="5"/>
      <c r="O55" s="5"/>
      <c r="P55" s="5"/>
      <c r="Q55" s="5"/>
      <c r="R55" s="5"/>
      <c r="S55" s="29"/>
      <c r="T55" s="30" t="s">
        <v>293</v>
      </c>
    </row>
    <row r="56" spans="1:20" x14ac:dyDescent="0.2">
      <c r="A56" s="26" t="s">
        <v>75</v>
      </c>
      <c r="B56" s="5" t="s">
        <v>9</v>
      </c>
      <c r="C56" s="6" t="s">
        <v>10</v>
      </c>
      <c r="D56" s="6" t="s">
        <v>13</v>
      </c>
      <c r="E56" s="27">
        <v>282</v>
      </c>
      <c r="F56" s="27">
        <v>1210</v>
      </c>
      <c r="G56" s="32" t="s">
        <v>17</v>
      </c>
      <c r="H56" s="5"/>
      <c r="I56" s="5"/>
      <c r="J56" s="5"/>
      <c r="K56" s="5"/>
      <c r="L56" s="28">
        <f t="shared" si="0"/>
        <v>4.2907801418439719</v>
      </c>
      <c r="M56" s="5">
        <v>65</v>
      </c>
      <c r="N56" s="5">
        <v>26</v>
      </c>
      <c r="O56" s="5">
        <v>8.6999999999999993</v>
      </c>
      <c r="P56" s="32" t="s">
        <v>409</v>
      </c>
      <c r="Q56" s="32"/>
      <c r="R56" s="5" t="s">
        <v>280</v>
      </c>
      <c r="S56" s="29">
        <v>0.26769230770000002</v>
      </c>
      <c r="T56" s="30" t="s">
        <v>293</v>
      </c>
    </row>
    <row r="57" spans="1:20" x14ac:dyDescent="0.2">
      <c r="A57" s="26" t="s">
        <v>76</v>
      </c>
      <c r="B57" s="5" t="s">
        <v>9</v>
      </c>
      <c r="C57" s="6" t="s">
        <v>77</v>
      </c>
      <c r="D57" s="6" t="s">
        <v>78</v>
      </c>
      <c r="E57" s="27">
        <v>208</v>
      </c>
      <c r="F57" s="27">
        <v>887</v>
      </c>
      <c r="G57" s="32" t="s">
        <v>17</v>
      </c>
      <c r="H57" s="32" t="s">
        <v>384</v>
      </c>
      <c r="I57" s="32" t="s">
        <v>385</v>
      </c>
      <c r="J57" s="5"/>
      <c r="K57" s="5"/>
      <c r="L57" s="28">
        <f t="shared" si="0"/>
        <v>4.2644230769230766</v>
      </c>
      <c r="M57" s="6">
        <v>208</v>
      </c>
      <c r="N57" s="6">
        <v>15.2</v>
      </c>
      <c r="O57" s="6">
        <v>27.5</v>
      </c>
      <c r="P57" s="32" t="s">
        <v>372</v>
      </c>
      <c r="Q57" s="32"/>
      <c r="R57" s="5" t="s">
        <v>279</v>
      </c>
      <c r="S57" s="29">
        <v>0.2644230769</v>
      </c>
      <c r="T57" s="30" t="s">
        <v>293</v>
      </c>
    </row>
    <row r="58" spans="1:20" x14ac:dyDescent="0.2">
      <c r="A58" s="26" t="s">
        <v>79</v>
      </c>
      <c r="B58" s="5" t="s">
        <v>9</v>
      </c>
      <c r="C58" s="6" t="s">
        <v>10</v>
      </c>
      <c r="D58" s="6" t="s">
        <v>13</v>
      </c>
      <c r="E58" s="27">
        <v>130</v>
      </c>
      <c r="F58" s="27">
        <v>520</v>
      </c>
      <c r="G58" s="32" t="s">
        <v>17</v>
      </c>
      <c r="H58" s="5"/>
      <c r="I58" s="5"/>
      <c r="J58" s="5"/>
      <c r="K58" s="5"/>
      <c r="L58" s="28">
        <f t="shared" si="0"/>
        <v>4</v>
      </c>
      <c r="M58" s="5">
        <v>84</v>
      </c>
      <c r="N58" s="5">
        <v>46</v>
      </c>
      <c r="O58" s="5">
        <v>10</v>
      </c>
      <c r="P58" s="32" t="s">
        <v>408</v>
      </c>
      <c r="Q58" s="32"/>
      <c r="R58" s="5" t="s">
        <v>280</v>
      </c>
      <c r="S58" s="29">
        <v>0.2380952381</v>
      </c>
      <c r="T58" s="30" t="s">
        <v>293</v>
      </c>
    </row>
    <row r="59" spans="1:20" x14ac:dyDescent="0.2">
      <c r="A59" s="26" t="s">
        <v>80</v>
      </c>
      <c r="B59" s="5" t="s">
        <v>9</v>
      </c>
      <c r="C59" s="6" t="s">
        <v>10</v>
      </c>
      <c r="D59" s="6" t="s">
        <v>13</v>
      </c>
      <c r="E59" s="27">
        <v>100</v>
      </c>
      <c r="F59" s="27">
        <v>400</v>
      </c>
      <c r="G59" s="32" t="s">
        <v>45</v>
      </c>
      <c r="H59" s="5"/>
      <c r="I59" s="5"/>
      <c r="J59" s="5"/>
      <c r="K59" s="5"/>
      <c r="L59" s="28">
        <f t="shared" si="0"/>
        <v>4</v>
      </c>
      <c r="M59" s="5">
        <v>154</v>
      </c>
      <c r="N59" s="5">
        <v>39</v>
      </c>
      <c r="O59" s="5">
        <v>18</v>
      </c>
      <c r="P59" s="32" t="s">
        <v>407</v>
      </c>
      <c r="Q59" s="32"/>
      <c r="R59" s="5" t="s">
        <v>280</v>
      </c>
      <c r="S59" s="29">
        <v>0.2337662338</v>
      </c>
      <c r="T59" s="30" t="s">
        <v>293</v>
      </c>
    </row>
    <row r="60" spans="1:20" x14ac:dyDescent="0.2">
      <c r="A60" s="26" t="s">
        <v>81</v>
      </c>
      <c r="B60" s="5" t="s">
        <v>9</v>
      </c>
      <c r="C60" s="6" t="s">
        <v>10</v>
      </c>
      <c r="D60" s="6" t="s">
        <v>13</v>
      </c>
      <c r="E60" s="27">
        <v>138</v>
      </c>
      <c r="F60" s="27">
        <v>490</v>
      </c>
      <c r="G60" s="32" t="s">
        <v>45</v>
      </c>
      <c r="H60" s="5"/>
      <c r="I60" s="5"/>
      <c r="J60" s="5"/>
      <c r="K60" s="5"/>
      <c r="L60" s="28">
        <f t="shared" si="0"/>
        <v>3.5507246376811592</v>
      </c>
      <c r="M60" s="5"/>
      <c r="N60" s="5"/>
      <c r="O60" s="5"/>
      <c r="P60" s="5"/>
      <c r="Q60" s="5"/>
      <c r="R60" s="5"/>
      <c r="S60" s="29"/>
      <c r="T60" s="30" t="s">
        <v>293</v>
      </c>
    </row>
    <row r="61" spans="1:20" x14ac:dyDescent="0.2">
      <c r="A61" s="26" t="s">
        <v>84</v>
      </c>
      <c r="B61" s="5" t="s">
        <v>9</v>
      </c>
      <c r="C61" s="6" t="s">
        <v>77</v>
      </c>
      <c r="D61" s="6" t="s">
        <v>85</v>
      </c>
      <c r="E61" s="27">
        <v>267.5</v>
      </c>
      <c r="F61" s="27">
        <v>900</v>
      </c>
      <c r="G61" s="32" t="s">
        <v>17</v>
      </c>
      <c r="H61" s="5"/>
      <c r="I61" s="5"/>
      <c r="J61" s="5"/>
      <c r="K61" s="5"/>
      <c r="L61" s="28">
        <f t="shared" si="0"/>
        <v>3.3644859813084111</v>
      </c>
      <c r="M61" s="5"/>
      <c r="N61" s="5"/>
      <c r="O61" s="5"/>
      <c r="P61" s="5"/>
      <c r="Q61" s="5"/>
      <c r="R61" s="5"/>
      <c r="S61" s="29"/>
      <c r="T61" s="30" t="s">
        <v>293</v>
      </c>
    </row>
    <row r="62" spans="1:20" x14ac:dyDescent="0.2">
      <c r="A62" s="26" t="s">
        <v>86</v>
      </c>
      <c r="B62" s="5" t="s">
        <v>9</v>
      </c>
      <c r="C62" s="6" t="s">
        <v>10</v>
      </c>
      <c r="D62" s="6" t="s">
        <v>87</v>
      </c>
      <c r="E62" s="27">
        <v>115</v>
      </c>
      <c r="F62" s="27">
        <v>359</v>
      </c>
      <c r="G62" s="32" t="s">
        <v>17</v>
      </c>
      <c r="H62" s="5"/>
      <c r="I62" s="5"/>
      <c r="J62" s="5"/>
      <c r="K62" s="5"/>
      <c r="L62" s="28">
        <f t="shared" si="0"/>
        <v>3.1217391304347828</v>
      </c>
      <c r="M62" s="5"/>
      <c r="N62" s="5"/>
      <c r="O62" s="5"/>
      <c r="P62" s="5"/>
      <c r="Q62" s="5"/>
      <c r="R62" s="5"/>
      <c r="S62" s="29"/>
      <c r="T62" s="30" t="s">
        <v>293</v>
      </c>
    </row>
    <row r="63" spans="1:20" x14ac:dyDescent="0.2">
      <c r="A63" s="26" t="s">
        <v>88</v>
      </c>
      <c r="B63" s="5" t="s">
        <v>9</v>
      </c>
      <c r="C63" s="6" t="s">
        <v>10</v>
      </c>
      <c r="D63" s="6" t="s">
        <v>13</v>
      </c>
      <c r="E63" s="27">
        <v>82</v>
      </c>
      <c r="F63" s="27">
        <v>250</v>
      </c>
      <c r="G63" s="32" t="s">
        <v>45</v>
      </c>
      <c r="H63" s="5"/>
      <c r="I63" s="5"/>
      <c r="J63" s="5"/>
      <c r="K63" s="5"/>
      <c r="L63" s="28">
        <f t="shared" si="0"/>
        <v>3.0487804878048781</v>
      </c>
      <c r="M63" s="5"/>
      <c r="N63" s="5"/>
      <c r="O63" s="5"/>
      <c r="P63" s="5"/>
      <c r="Q63" s="5"/>
      <c r="R63" s="5"/>
      <c r="S63" s="29"/>
      <c r="T63" s="30" t="s">
        <v>293</v>
      </c>
    </row>
    <row r="64" spans="1:20" x14ac:dyDescent="0.2">
      <c r="A64" s="26" t="s">
        <v>89</v>
      </c>
      <c r="B64" s="5" t="s">
        <v>9</v>
      </c>
      <c r="C64" s="6" t="s">
        <v>77</v>
      </c>
      <c r="D64" s="6" t="s">
        <v>78</v>
      </c>
      <c r="E64" s="27">
        <v>371</v>
      </c>
      <c r="F64" s="27">
        <v>1061</v>
      </c>
      <c r="G64" s="32" t="s">
        <v>17</v>
      </c>
      <c r="H64" s="32" t="s">
        <v>38</v>
      </c>
      <c r="I64" s="5"/>
      <c r="J64" s="5"/>
      <c r="K64" s="5"/>
      <c r="L64" s="28">
        <f t="shared" si="0"/>
        <v>2.8598382749326148</v>
      </c>
      <c r="M64" s="5"/>
      <c r="N64" s="5"/>
      <c r="O64" s="5"/>
      <c r="P64" s="5"/>
      <c r="Q64" s="5"/>
      <c r="R64" s="5"/>
      <c r="S64" s="29"/>
      <c r="T64" s="30" t="s">
        <v>293</v>
      </c>
    </row>
    <row r="65" spans="1:20" x14ac:dyDescent="0.2">
      <c r="A65" s="26" t="s">
        <v>90</v>
      </c>
      <c r="B65" s="5" t="s">
        <v>9</v>
      </c>
      <c r="C65" s="6" t="s">
        <v>77</v>
      </c>
      <c r="D65" s="6" t="s">
        <v>78</v>
      </c>
      <c r="E65" s="27">
        <v>528.5</v>
      </c>
      <c r="F65" s="27">
        <v>1500</v>
      </c>
      <c r="G65" s="32" t="s">
        <v>17</v>
      </c>
      <c r="H65" s="5"/>
      <c r="I65" s="5"/>
      <c r="J65" s="5"/>
      <c r="K65" s="5"/>
      <c r="L65" s="28">
        <f t="shared" si="0"/>
        <v>2.838221381267739</v>
      </c>
      <c r="M65" s="5"/>
      <c r="N65" s="5"/>
      <c r="O65" s="5"/>
      <c r="P65" s="5"/>
      <c r="Q65" s="5"/>
      <c r="R65" s="5"/>
      <c r="S65" s="29"/>
      <c r="T65" s="30" t="s">
        <v>293</v>
      </c>
    </row>
    <row r="66" spans="1:20" x14ac:dyDescent="0.2">
      <c r="A66" s="26" t="s">
        <v>91</v>
      </c>
      <c r="B66" s="5" t="s">
        <v>9</v>
      </c>
      <c r="C66" s="6" t="s">
        <v>10</v>
      </c>
      <c r="D66" s="6" t="s">
        <v>13</v>
      </c>
      <c r="E66" s="27">
        <v>147</v>
      </c>
      <c r="F66" s="27">
        <v>410</v>
      </c>
      <c r="G66" s="32" t="s">
        <v>45</v>
      </c>
      <c r="H66" s="5"/>
      <c r="I66" s="5"/>
      <c r="J66" s="5"/>
      <c r="K66" s="5"/>
      <c r="L66" s="28">
        <f t="shared" si="0"/>
        <v>2.7891156462585034</v>
      </c>
      <c r="M66" s="5"/>
      <c r="N66" s="5"/>
      <c r="O66" s="5"/>
      <c r="P66" s="5"/>
      <c r="Q66" s="5"/>
      <c r="R66" s="5"/>
      <c r="S66" s="29"/>
      <c r="T66" s="30" t="s">
        <v>293</v>
      </c>
    </row>
    <row r="67" spans="1:20" x14ac:dyDescent="0.2">
      <c r="A67" s="26" t="s">
        <v>92</v>
      </c>
      <c r="B67" s="5" t="s">
        <v>9</v>
      </c>
      <c r="C67" s="6" t="s">
        <v>10</v>
      </c>
      <c r="D67" s="6" t="s">
        <v>13</v>
      </c>
      <c r="E67" s="27">
        <v>150</v>
      </c>
      <c r="F67" s="27">
        <v>400</v>
      </c>
      <c r="G67" s="32" t="s">
        <v>17</v>
      </c>
      <c r="H67" s="5"/>
      <c r="I67" s="5"/>
      <c r="J67" s="5"/>
      <c r="K67" s="5"/>
      <c r="L67" s="28">
        <f t="shared" ref="L67:L131" si="1">F67/E67</f>
        <v>2.6666666666666665</v>
      </c>
      <c r="M67" s="5"/>
      <c r="N67" s="5"/>
      <c r="O67" s="5"/>
      <c r="P67" s="5"/>
      <c r="Q67" s="5"/>
      <c r="R67" s="5"/>
      <c r="S67" s="29"/>
      <c r="T67" s="30" t="s">
        <v>293</v>
      </c>
    </row>
    <row r="68" spans="1:20" x14ac:dyDescent="0.2">
      <c r="A68" s="26" t="s">
        <v>93</v>
      </c>
      <c r="B68" s="5" t="s">
        <v>9</v>
      </c>
      <c r="C68" s="6" t="s">
        <v>10</v>
      </c>
      <c r="D68" s="6" t="s">
        <v>30</v>
      </c>
      <c r="E68" s="27">
        <v>282</v>
      </c>
      <c r="F68" s="27">
        <v>750</v>
      </c>
      <c r="G68" s="32" t="s">
        <v>17</v>
      </c>
      <c r="H68" s="5"/>
      <c r="I68" s="5"/>
      <c r="J68" s="5"/>
      <c r="K68" s="5"/>
      <c r="L68" s="28">
        <f t="shared" si="1"/>
        <v>2.6595744680851063</v>
      </c>
      <c r="M68" s="5"/>
      <c r="N68" s="5"/>
      <c r="O68" s="5"/>
      <c r="P68" s="5"/>
      <c r="Q68" s="5"/>
      <c r="R68" s="5"/>
      <c r="S68" s="29"/>
      <c r="T68" s="30" t="s">
        <v>293</v>
      </c>
    </row>
    <row r="69" spans="1:20" x14ac:dyDescent="0.2">
      <c r="A69" s="26" t="s">
        <v>94</v>
      </c>
      <c r="B69" s="5" t="s">
        <v>9</v>
      </c>
      <c r="C69" s="6" t="s">
        <v>10</v>
      </c>
      <c r="D69" s="6" t="s">
        <v>11</v>
      </c>
      <c r="E69" s="27">
        <v>204.5</v>
      </c>
      <c r="F69" s="27">
        <v>526</v>
      </c>
      <c r="G69" s="32" t="s">
        <v>17</v>
      </c>
      <c r="H69" s="5"/>
      <c r="I69" s="5"/>
      <c r="J69" s="5"/>
      <c r="K69" s="5"/>
      <c r="L69" s="28">
        <f t="shared" si="1"/>
        <v>2.5721271393643033</v>
      </c>
      <c r="M69" s="5"/>
      <c r="N69" s="5"/>
      <c r="O69" s="5"/>
      <c r="P69" s="5"/>
      <c r="Q69" s="5"/>
      <c r="R69" s="5"/>
      <c r="S69" s="29"/>
      <c r="T69" s="30" t="s">
        <v>293</v>
      </c>
    </row>
    <row r="70" spans="1:20" x14ac:dyDescent="0.2">
      <c r="A70" s="26" t="s">
        <v>95</v>
      </c>
      <c r="B70" s="5" t="s">
        <v>9</v>
      </c>
      <c r="C70" s="6" t="s">
        <v>77</v>
      </c>
      <c r="D70" s="6" t="s">
        <v>85</v>
      </c>
      <c r="E70" s="27">
        <v>432</v>
      </c>
      <c r="F70" s="27">
        <v>1111</v>
      </c>
      <c r="G70" s="32" t="s">
        <v>17</v>
      </c>
      <c r="H70" s="5"/>
      <c r="I70" s="5"/>
      <c r="J70" s="5"/>
      <c r="K70" s="5"/>
      <c r="L70" s="28">
        <f t="shared" si="1"/>
        <v>2.5717592592592591</v>
      </c>
      <c r="M70" s="5"/>
      <c r="N70" s="5"/>
      <c r="O70" s="5"/>
      <c r="P70" s="5"/>
      <c r="Q70" s="5"/>
      <c r="R70" s="5"/>
      <c r="S70" s="29"/>
      <c r="T70" s="30" t="s">
        <v>293</v>
      </c>
    </row>
    <row r="71" spans="1:20" x14ac:dyDescent="0.2">
      <c r="A71" s="26" t="s">
        <v>96</v>
      </c>
      <c r="B71" s="5" t="s">
        <v>9</v>
      </c>
      <c r="C71" s="6" t="s">
        <v>10</v>
      </c>
      <c r="D71" s="6" t="s">
        <v>13</v>
      </c>
      <c r="E71" s="27">
        <v>238</v>
      </c>
      <c r="F71" s="27">
        <v>600</v>
      </c>
      <c r="G71" s="32" t="s">
        <v>45</v>
      </c>
      <c r="H71" s="5"/>
      <c r="I71" s="5"/>
      <c r="J71" s="5"/>
      <c r="K71" s="5"/>
      <c r="L71" s="28">
        <f t="shared" si="1"/>
        <v>2.5210084033613445</v>
      </c>
      <c r="M71" s="5"/>
      <c r="N71" s="5"/>
      <c r="O71" s="5"/>
      <c r="P71" s="5"/>
      <c r="Q71" s="5"/>
      <c r="R71" s="5"/>
      <c r="S71" s="29"/>
      <c r="T71" s="30" t="s">
        <v>293</v>
      </c>
    </row>
    <row r="72" spans="1:20" x14ac:dyDescent="0.2">
      <c r="A72" s="26" t="s">
        <v>97</v>
      </c>
      <c r="B72" s="5" t="s">
        <v>9</v>
      </c>
      <c r="C72" s="6" t="s">
        <v>10</v>
      </c>
      <c r="D72" s="6" t="s">
        <v>13</v>
      </c>
      <c r="E72" s="27">
        <v>203</v>
      </c>
      <c r="F72" s="27">
        <v>487</v>
      </c>
      <c r="G72" s="32" t="s">
        <v>17</v>
      </c>
      <c r="H72" s="5"/>
      <c r="I72" s="5"/>
      <c r="J72" s="5"/>
      <c r="K72" s="5"/>
      <c r="L72" s="28">
        <f t="shared" si="1"/>
        <v>2.3990147783251232</v>
      </c>
      <c r="M72" s="5"/>
      <c r="N72" s="5"/>
      <c r="O72" s="5"/>
      <c r="P72" s="5"/>
      <c r="Q72" s="5"/>
      <c r="R72" s="5"/>
      <c r="S72" s="29"/>
      <c r="T72" s="30" t="s">
        <v>293</v>
      </c>
    </row>
    <row r="73" spans="1:20" x14ac:dyDescent="0.2">
      <c r="A73" s="26" t="s">
        <v>98</v>
      </c>
      <c r="B73" s="5" t="s">
        <v>9</v>
      </c>
      <c r="C73" s="6" t="s">
        <v>10</v>
      </c>
      <c r="D73" s="6" t="s">
        <v>19</v>
      </c>
      <c r="E73" s="27">
        <v>87</v>
      </c>
      <c r="F73" s="27">
        <v>200</v>
      </c>
      <c r="G73" s="32" t="s">
        <v>17</v>
      </c>
      <c r="H73" s="5"/>
      <c r="I73" s="5"/>
      <c r="J73" s="5"/>
      <c r="K73" s="5"/>
      <c r="L73" s="28">
        <f t="shared" si="1"/>
        <v>2.2988505747126435</v>
      </c>
      <c r="M73" s="5"/>
      <c r="N73" s="5"/>
      <c r="O73" s="5"/>
      <c r="P73" s="5"/>
      <c r="Q73" s="5"/>
      <c r="R73" s="5"/>
      <c r="S73" s="29"/>
      <c r="T73" s="30" t="s">
        <v>293</v>
      </c>
    </row>
    <row r="74" spans="1:20" x14ac:dyDescent="0.2">
      <c r="A74" s="26" t="s">
        <v>99</v>
      </c>
      <c r="B74" s="5" t="s">
        <v>9</v>
      </c>
      <c r="C74" s="6" t="s">
        <v>10</v>
      </c>
      <c r="D74" s="6" t="s">
        <v>13</v>
      </c>
      <c r="E74" s="27">
        <v>83</v>
      </c>
      <c r="F74" s="27">
        <v>190</v>
      </c>
      <c r="G74" s="32" t="s">
        <v>45</v>
      </c>
      <c r="H74" s="5"/>
      <c r="I74" s="5"/>
      <c r="J74" s="5"/>
      <c r="K74" s="5"/>
      <c r="L74" s="28">
        <f t="shared" si="1"/>
        <v>2.2891566265060241</v>
      </c>
      <c r="M74" s="5"/>
      <c r="N74" s="5"/>
      <c r="O74" s="5"/>
      <c r="P74" s="5"/>
      <c r="Q74" s="5"/>
      <c r="R74" s="5"/>
      <c r="S74" s="29"/>
      <c r="T74" s="30" t="s">
        <v>293</v>
      </c>
    </row>
    <row r="75" spans="1:20" x14ac:dyDescent="0.2">
      <c r="A75" s="26" t="s">
        <v>100</v>
      </c>
      <c r="B75" s="5" t="s">
        <v>9</v>
      </c>
      <c r="C75" s="6" t="s">
        <v>77</v>
      </c>
      <c r="D75" s="6" t="s">
        <v>78</v>
      </c>
      <c r="E75" s="27">
        <v>350</v>
      </c>
      <c r="F75" s="27">
        <v>600</v>
      </c>
      <c r="G75" s="32" t="s">
        <v>107</v>
      </c>
      <c r="H75" s="32" t="s">
        <v>377</v>
      </c>
      <c r="I75" s="5"/>
      <c r="J75" s="5"/>
      <c r="K75" s="5"/>
      <c r="L75" s="28">
        <f t="shared" si="1"/>
        <v>1.7142857142857142</v>
      </c>
      <c r="M75" s="5"/>
      <c r="N75" s="5"/>
      <c r="O75" s="5"/>
      <c r="P75" s="5"/>
      <c r="Q75" s="5"/>
      <c r="R75" s="5"/>
      <c r="S75" s="29"/>
      <c r="T75" s="30" t="s">
        <v>293</v>
      </c>
    </row>
    <row r="76" spans="1:20" x14ac:dyDescent="0.2">
      <c r="A76" s="26" t="s">
        <v>101</v>
      </c>
      <c r="B76" s="5" t="s">
        <v>9</v>
      </c>
      <c r="C76" s="6" t="s">
        <v>10</v>
      </c>
      <c r="D76" s="6" t="s">
        <v>13</v>
      </c>
      <c r="E76" s="27">
        <v>95</v>
      </c>
      <c r="F76" s="27">
        <v>160</v>
      </c>
      <c r="G76" s="32" t="s">
        <v>45</v>
      </c>
      <c r="H76" s="5"/>
      <c r="I76" s="5"/>
      <c r="J76" s="5"/>
      <c r="K76" s="5"/>
      <c r="L76" s="28">
        <f t="shared" si="1"/>
        <v>1.6842105263157894</v>
      </c>
      <c r="M76" s="5"/>
      <c r="N76" s="5"/>
      <c r="O76" s="5"/>
      <c r="P76" s="5"/>
      <c r="Q76" s="5"/>
      <c r="R76" s="5"/>
      <c r="S76" s="29"/>
      <c r="T76" s="30" t="s">
        <v>293</v>
      </c>
    </row>
    <row r="77" spans="1:20" x14ac:dyDescent="0.2">
      <c r="A77" s="26" t="s">
        <v>102</v>
      </c>
      <c r="B77" s="5" t="s">
        <v>9</v>
      </c>
      <c r="C77" s="6" t="s">
        <v>10</v>
      </c>
      <c r="D77" s="6" t="s">
        <v>13</v>
      </c>
      <c r="E77" s="27">
        <v>40</v>
      </c>
      <c r="F77" s="27">
        <v>60</v>
      </c>
      <c r="G77" s="32" t="s">
        <v>45</v>
      </c>
      <c r="H77" s="5"/>
      <c r="I77" s="5"/>
      <c r="J77" s="5"/>
      <c r="K77" s="5"/>
      <c r="L77" s="28">
        <f t="shared" si="1"/>
        <v>1.5</v>
      </c>
      <c r="M77" s="5"/>
      <c r="N77" s="5"/>
      <c r="O77" s="5"/>
      <c r="P77" s="5"/>
      <c r="Q77" s="5"/>
      <c r="R77" s="5"/>
      <c r="S77" s="29"/>
      <c r="T77" s="30" t="s">
        <v>293</v>
      </c>
    </row>
    <row r="78" spans="1:20" x14ac:dyDescent="0.2">
      <c r="A78" s="26" t="s">
        <v>103</v>
      </c>
      <c r="B78" s="5" t="s">
        <v>9</v>
      </c>
      <c r="C78" s="6" t="s">
        <v>77</v>
      </c>
      <c r="D78" s="6" t="s">
        <v>78</v>
      </c>
      <c r="E78" s="27">
        <v>450</v>
      </c>
      <c r="F78" s="27">
        <v>640</v>
      </c>
      <c r="G78" s="32" t="s">
        <v>17</v>
      </c>
      <c r="H78" s="5"/>
      <c r="I78" s="5"/>
      <c r="J78" s="5"/>
      <c r="K78" s="5"/>
      <c r="L78" s="28">
        <f t="shared" si="1"/>
        <v>1.4222222222222223</v>
      </c>
      <c r="M78" s="5"/>
      <c r="N78" s="5"/>
      <c r="O78" s="5"/>
      <c r="P78" s="5"/>
      <c r="Q78" s="5"/>
      <c r="R78" s="5"/>
      <c r="S78" s="29"/>
      <c r="T78" s="30" t="s">
        <v>293</v>
      </c>
    </row>
    <row r="79" spans="1:20" x14ac:dyDescent="0.2">
      <c r="A79" s="26" t="s">
        <v>104</v>
      </c>
      <c r="B79" s="5" t="s">
        <v>9</v>
      </c>
      <c r="C79" s="6" t="s">
        <v>77</v>
      </c>
      <c r="D79" s="6" t="s">
        <v>78</v>
      </c>
      <c r="E79" s="27">
        <v>184.1</v>
      </c>
      <c r="F79" s="27">
        <v>216</v>
      </c>
      <c r="G79" s="32" t="s">
        <v>105</v>
      </c>
      <c r="H79" s="5"/>
      <c r="I79" s="5"/>
      <c r="J79" s="5"/>
      <c r="K79" s="5"/>
      <c r="L79" s="28">
        <f t="shared" si="1"/>
        <v>1.1732753938077132</v>
      </c>
      <c r="M79" s="5"/>
      <c r="N79" s="5"/>
      <c r="O79" s="5"/>
      <c r="P79" s="5"/>
      <c r="Q79" s="5"/>
      <c r="R79" s="5"/>
      <c r="S79" s="29"/>
      <c r="T79" s="30" t="s">
        <v>293</v>
      </c>
    </row>
    <row r="80" spans="1:20" x14ac:dyDescent="0.2">
      <c r="A80" s="26" t="s">
        <v>106</v>
      </c>
      <c r="B80" s="5" t="s">
        <v>9</v>
      </c>
      <c r="C80" s="6" t="s">
        <v>77</v>
      </c>
      <c r="D80" s="6" t="s">
        <v>78</v>
      </c>
      <c r="E80" s="27">
        <v>1000</v>
      </c>
      <c r="F80" s="27">
        <v>1000</v>
      </c>
      <c r="G80" s="32" t="s">
        <v>107</v>
      </c>
      <c r="H80" s="5"/>
      <c r="I80" s="5"/>
      <c r="J80" s="5"/>
      <c r="K80" s="5"/>
      <c r="L80" s="28">
        <f t="shared" si="1"/>
        <v>1</v>
      </c>
      <c r="M80" s="5"/>
      <c r="N80" s="5"/>
      <c r="O80" s="5"/>
      <c r="P80" s="5"/>
      <c r="Q80" s="5"/>
      <c r="R80" s="5"/>
      <c r="S80" s="29"/>
      <c r="T80" s="30" t="s">
        <v>293</v>
      </c>
    </row>
    <row r="81" spans="1:20" x14ac:dyDescent="0.2">
      <c r="A81" s="26" t="s">
        <v>108</v>
      </c>
      <c r="B81" s="5" t="s">
        <v>9</v>
      </c>
      <c r="C81" s="6" t="s">
        <v>10</v>
      </c>
      <c r="D81" s="6" t="s">
        <v>13</v>
      </c>
      <c r="E81" s="27">
        <v>400</v>
      </c>
      <c r="F81" s="27">
        <v>385</v>
      </c>
      <c r="G81" s="32" t="s">
        <v>17</v>
      </c>
      <c r="H81" s="5"/>
      <c r="I81" s="5"/>
      <c r="J81" s="5"/>
      <c r="K81" s="5"/>
      <c r="L81" s="28">
        <f t="shared" si="1"/>
        <v>0.96250000000000002</v>
      </c>
      <c r="M81" s="5"/>
      <c r="N81" s="5"/>
      <c r="O81" s="5"/>
      <c r="P81" s="5"/>
      <c r="Q81" s="5"/>
      <c r="R81" s="5"/>
      <c r="S81" s="29"/>
      <c r="T81" s="30" t="s">
        <v>293</v>
      </c>
    </row>
    <row r="82" spans="1:20" ht="29" x14ac:dyDescent="0.2">
      <c r="A82" s="26" t="s">
        <v>109</v>
      </c>
      <c r="B82" s="5" t="s">
        <v>9</v>
      </c>
      <c r="C82" s="6" t="s">
        <v>77</v>
      </c>
      <c r="D82" s="6" t="s">
        <v>78</v>
      </c>
      <c r="E82" s="27">
        <v>1045</v>
      </c>
      <c r="F82" s="27">
        <v>810</v>
      </c>
      <c r="G82" s="32" t="s">
        <v>17</v>
      </c>
      <c r="H82" s="5"/>
      <c r="I82" s="5"/>
      <c r="J82" s="5"/>
      <c r="K82" s="5"/>
      <c r="L82" s="28">
        <f t="shared" si="1"/>
        <v>0.77511961722488043</v>
      </c>
      <c r="M82" s="6">
        <v>1045</v>
      </c>
      <c r="N82" s="6">
        <v>95</v>
      </c>
      <c r="O82" s="6">
        <v>8.1999999999999993</v>
      </c>
      <c r="P82" s="32" t="s">
        <v>372</v>
      </c>
      <c r="Q82" s="32"/>
      <c r="R82" s="5" t="s">
        <v>279</v>
      </c>
      <c r="S82" s="29">
        <v>1.56937799E-2</v>
      </c>
      <c r="T82" s="30" t="s">
        <v>293</v>
      </c>
    </row>
    <row r="83" spans="1:20" x14ac:dyDescent="0.2">
      <c r="A83" s="26" t="s">
        <v>110</v>
      </c>
      <c r="B83" s="5" t="s">
        <v>9</v>
      </c>
      <c r="C83" s="6" t="s">
        <v>10</v>
      </c>
      <c r="D83" s="6" t="s">
        <v>11</v>
      </c>
      <c r="E83" s="27">
        <v>808</v>
      </c>
      <c r="F83" s="27">
        <v>608</v>
      </c>
      <c r="G83" s="32" t="s">
        <v>17</v>
      </c>
      <c r="H83" s="5"/>
      <c r="I83" s="5"/>
      <c r="J83" s="5"/>
      <c r="K83" s="5"/>
      <c r="L83" s="28">
        <f t="shared" si="1"/>
        <v>0.75247524752475248</v>
      </c>
      <c r="M83" s="5"/>
      <c r="N83" s="5"/>
      <c r="O83" s="5"/>
      <c r="P83" s="5"/>
      <c r="Q83" s="5"/>
      <c r="R83" s="5"/>
      <c r="S83" s="29"/>
      <c r="T83" s="30" t="s">
        <v>293</v>
      </c>
    </row>
    <row r="84" spans="1:20" ht="29" x14ac:dyDescent="0.2">
      <c r="A84" s="26" t="s">
        <v>111</v>
      </c>
      <c r="B84" s="5" t="s">
        <v>9</v>
      </c>
      <c r="C84" s="6" t="s">
        <v>112</v>
      </c>
      <c r="D84" s="6" t="s">
        <v>113</v>
      </c>
      <c r="E84" s="27">
        <v>350</v>
      </c>
      <c r="F84" s="27">
        <v>50</v>
      </c>
      <c r="G84" s="32" t="s">
        <v>380</v>
      </c>
      <c r="H84" s="32" t="s">
        <v>107</v>
      </c>
      <c r="I84" s="5"/>
      <c r="J84" s="5"/>
      <c r="K84" s="5"/>
      <c r="L84" s="28">
        <f t="shared" si="1"/>
        <v>0.14285714285714285</v>
      </c>
      <c r="M84" s="6">
        <v>350</v>
      </c>
      <c r="N84" s="6">
        <v>112</v>
      </c>
      <c r="O84" s="6">
        <v>15</v>
      </c>
      <c r="P84" s="32" t="s">
        <v>372</v>
      </c>
      <c r="Q84" s="32"/>
      <c r="R84" s="5" t="s">
        <v>279</v>
      </c>
      <c r="S84" s="29">
        <v>8.5714285710000004E-2</v>
      </c>
      <c r="T84" s="30" t="s">
        <v>293</v>
      </c>
    </row>
    <row r="85" spans="1:20" s="17" customFormat="1" x14ac:dyDescent="0.2">
      <c r="A85" s="33" t="s">
        <v>331</v>
      </c>
      <c r="B85" s="34" t="s">
        <v>115</v>
      </c>
      <c r="C85" s="35" t="s">
        <v>161</v>
      </c>
      <c r="D85" s="35" t="s">
        <v>174</v>
      </c>
      <c r="E85" s="36">
        <v>10</v>
      </c>
      <c r="F85" s="37">
        <v>6070</v>
      </c>
      <c r="G85" s="42" t="s">
        <v>364</v>
      </c>
      <c r="H85" s="34"/>
      <c r="I85" s="34"/>
      <c r="J85" s="34"/>
      <c r="K85" s="34"/>
      <c r="L85" s="38">
        <v>607</v>
      </c>
      <c r="M85" s="35"/>
      <c r="N85" s="35"/>
      <c r="O85" s="35"/>
      <c r="P85" s="34"/>
      <c r="Q85" s="34"/>
      <c r="R85" s="34"/>
      <c r="S85" s="39"/>
      <c r="T85" s="40" t="s">
        <v>330</v>
      </c>
    </row>
    <row r="86" spans="1:20" ht="29" x14ac:dyDescent="0.2">
      <c r="A86" s="26" t="s">
        <v>324</v>
      </c>
      <c r="B86" s="5" t="s">
        <v>115</v>
      </c>
      <c r="C86" s="6" t="s">
        <v>118</v>
      </c>
      <c r="D86" s="6" t="s">
        <v>119</v>
      </c>
      <c r="E86" s="27">
        <v>8</v>
      </c>
      <c r="F86" s="27">
        <v>1572</v>
      </c>
      <c r="G86" s="32" t="s">
        <v>365</v>
      </c>
      <c r="H86" s="5"/>
      <c r="I86" s="5"/>
      <c r="J86" s="5"/>
      <c r="K86" s="5"/>
      <c r="L86" s="28">
        <f t="shared" si="1"/>
        <v>196.5</v>
      </c>
      <c r="M86" s="5"/>
      <c r="N86" s="5"/>
      <c r="O86" s="5"/>
      <c r="P86" s="5"/>
      <c r="Q86" s="5"/>
      <c r="R86" s="5"/>
      <c r="S86" s="29"/>
      <c r="T86" s="30" t="s">
        <v>328</v>
      </c>
    </row>
    <row r="87" spans="1:20" ht="29" x14ac:dyDescent="0.2">
      <c r="A87" s="26" t="s">
        <v>325</v>
      </c>
      <c r="B87" s="5" t="s">
        <v>115</v>
      </c>
      <c r="C87" s="6" t="s">
        <v>118</v>
      </c>
      <c r="D87" s="6" t="s">
        <v>119</v>
      </c>
      <c r="E87" s="27">
        <v>11.6</v>
      </c>
      <c r="F87" s="27">
        <v>1119</v>
      </c>
      <c r="G87" s="32" t="s">
        <v>366</v>
      </c>
      <c r="H87" s="5"/>
      <c r="I87" s="5"/>
      <c r="J87" s="5"/>
      <c r="K87" s="5"/>
      <c r="L87" s="28">
        <f t="shared" si="1"/>
        <v>96.465517241379317</v>
      </c>
      <c r="M87" s="5"/>
      <c r="N87" s="5"/>
      <c r="O87" s="5"/>
      <c r="P87" s="5"/>
      <c r="Q87" s="5"/>
      <c r="R87" s="5"/>
      <c r="S87" s="29"/>
      <c r="T87" s="30" t="s">
        <v>328</v>
      </c>
    </row>
    <row r="88" spans="1:20" ht="29" x14ac:dyDescent="0.2">
      <c r="A88" s="26" t="s">
        <v>326</v>
      </c>
      <c r="B88" s="5" t="s">
        <v>115</v>
      </c>
      <c r="C88" s="6" t="s">
        <v>118</v>
      </c>
      <c r="D88" s="6" t="s">
        <v>119</v>
      </c>
      <c r="E88" s="27">
        <v>10.5</v>
      </c>
      <c r="F88" s="27">
        <v>1603</v>
      </c>
      <c r="G88" s="32" t="s">
        <v>367</v>
      </c>
      <c r="H88" s="5"/>
      <c r="I88" s="5"/>
      <c r="J88" s="5"/>
      <c r="K88" s="5"/>
      <c r="L88" s="28">
        <f t="shared" si="1"/>
        <v>152.66666666666666</v>
      </c>
      <c r="M88" s="5"/>
      <c r="N88" s="5"/>
      <c r="O88" s="5"/>
      <c r="P88" s="5"/>
      <c r="Q88" s="5"/>
      <c r="R88" s="5"/>
      <c r="S88" s="29"/>
      <c r="T88" s="30" t="s">
        <v>328</v>
      </c>
    </row>
    <row r="89" spans="1:20" x14ac:dyDescent="0.2">
      <c r="A89" s="26" t="s">
        <v>327</v>
      </c>
      <c r="B89" s="5" t="s">
        <v>115</v>
      </c>
      <c r="C89" s="6" t="s">
        <v>118</v>
      </c>
      <c r="D89" s="6" t="s">
        <v>119</v>
      </c>
      <c r="E89" s="27">
        <v>40</v>
      </c>
      <c r="F89" s="27">
        <v>1450</v>
      </c>
      <c r="G89" s="32" t="s">
        <v>381</v>
      </c>
      <c r="H89" s="5"/>
      <c r="I89" s="5"/>
      <c r="J89" s="5"/>
      <c r="K89" s="5"/>
      <c r="L89" s="28">
        <f t="shared" si="1"/>
        <v>36.25</v>
      </c>
      <c r="M89" s="5"/>
      <c r="N89" s="5"/>
      <c r="O89" s="5"/>
      <c r="P89" s="5"/>
      <c r="Q89" s="5"/>
      <c r="R89" s="5"/>
      <c r="S89" s="29"/>
      <c r="T89" s="30" t="s">
        <v>329</v>
      </c>
    </row>
    <row r="90" spans="1:20" ht="29" x14ac:dyDescent="0.2">
      <c r="A90" s="26" t="s">
        <v>114</v>
      </c>
      <c r="B90" s="5" t="s">
        <v>115</v>
      </c>
      <c r="C90" s="6" t="s">
        <v>116</v>
      </c>
      <c r="D90" s="6" t="s">
        <v>117</v>
      </c>
      <c r="E90" s="27">
        <v>8.1</v>
      </c>
      <c r="F90" s="27">
        <v>18.5</v>
      </c>
      <c r="G90" s="32" t="s">
        <v>377</v>
      </c>
      <c r="H90" s="32" t="s">
        <v>140</v>
      </c>
      <c r="I90" s="5"/>
      <c r="J90" s="5"/>
      <c r="K90" s="5"/>
      <c r="L90" s="28">
        <f t="shared" si="1"/>
        <v>2.2839506172839505</v>
      </c>
      <c r="M90" s="5"/>
      <c r="N90" s="5"/>
      <c r="O90" s="5"/>
      <c r="P90" s="5"/>
      <c r="Q90" s="5"/>
      <c r="R90" s="5"/>
      <c r="S90" s="29"/>
      <c r="T90" s="30" t="s">
        <v>329</v>
      </c>
    </row>
    <row r="91" spans="1:20" ht="43" x14ac:dyDescent="0.2">
      <c r="A91" s="26" t="s">
        <v>122</v>
      </c>
      <c r="B91" s="5" t="s">
        <v>115</v>
      </c>
      <c r="C91" s="6" t="s">
        <v>118</v>
      </c>
      <c r="D91" s="6" t="s">
        <v>119</v>
      </c>
      <c r="E91" s="27">
        <v>19</v>
      </c>
      <c r="F91" s="27">
        <v>1500</v>
      </c>
      <c r="G91" s="32" t="s">
        <v>149</v>
      </c>
      <c r="H91" s="32" t="s">
        <v>143</v>
      </c>
      <c r="I91" s="32" t="s">
        <v>386</v>
      </c>
      <c r="J91" s="5"/>
      <c r="K91" s="5"/>
      <c r="L91" s="28">
        <f t="shared" si="1"/>
        <v>78.94736842105263</v>
      </c>
      <c r="M91" s="5"/>
      <c r="N91" s="5"/>
      <c r="O91" s="5"/>
      <c r="P91" s="5"/>
      <c r="Q91" s="5"/>
      <c r="R91" s="5"/>
      <c r="S91" s="29"/>
      <c r="T91" s="30" t="s">
        <v>329</v>
      </c>
    </row>
    <row r="92" spans="1:20" x14ac:dyDescent="0.2">
      <c r="A92" s="26" t="s">
        <v>123</v>
      </c>
      <c r="B92" s="5" t="s">
        <v>115</v>
      </c>
      <c r="C92" s="6" t="s">
        <v>124</v>
      </c>
      <c r="D92" s="6" t="s">
        <v>125</v>
      </c>
      <c r="E92" s="27">
        <v>4</v>
      </c>
      <c r="F92" s="27">
        <v>300</v>
      </c>
      <c r="G92" s="32" t="s">
        <v>126</v>
      </c>
      <c r="H92" s="5"/>
      <c r="I92" s="5"/>
      <c r="J92" s="5"/>
      <c r="K92" s="5"/>
      <c r="L92" s="28">
        <f t="shared" si="1"/>
        <v>75</v>
      </c>
      <c r="M92" s="5"/>
      <c r="N92" s="5"/>
      <c r="O92" s="5"/>
      <c r="P92" s="5"/>
      <c r="Q92" s="5"/>
      <c r="R92" s="5"/>
      <c r="S92" s="29"/>
      <c r="T92" s="30" t="s">
        <v>329</v>
      </c>
    </row>
    <row r="93" spans="1:20" x14ac:dyDescent="0.2">
      <c r="A93" s="26" t="s">
        <v>127</v>
      </c>
      <c r="B93" s="5" t="s">
        <v>115</v>
      </c>
      <c r="C93" s="6" t="s">
        <v>128</v>
      </c>
      <c r="D93" s="6" t="s">
        <v>129</v>
      </c>
      <c r="E93" s="27">
        <v>5.25</v>
      </c>
      <c r="F93" s="27">
        <v>325</v>
      </c>
      <c r="G93" s="32" t="s">
        <v>130</v>
      </c>
      <c r="H93" s="5"/>
      <c r="I93" s="5"/>
      <c r="J93" s="5"/>
      <c r="K93" s="5"/>
      <c r="L93" s="28">
        <f t="shared" si="1"/>
        <v>61.904761904761905</v>
      </c>
      <c r="M93" s="5"/>
      <c r="N93" s="5"/>
      <c r="O93" s="5"/>
      <c r="P93" s="5"/>
      <c r="Q93" s="5"/>
      <c r="R93" s="5"/>
      <c r="S93" s="29"/>
      <c r="T93" s="30" t="s">
        <v>329</v>
      </c>
    </row>
    <row r="94" spans="1:20" ht="29" x14ac:dyDescent="0.2">
      <c r="A94" s="26" t="s">
        <v>131</v>
      </c>
      <c r="B94" s="5" t="s">
        <v>115</v>
      </c>
      <c r="C94" s="6" t="s">
        <v>118</v>
      </c>
      <c r="D94" s="6" t="s">
        <v>119</v>
      </c>
      <c r="E94" s="27">
        <v>10.6</v>
      </c>
      <c r="F94" s="27">
        <v>879</v>
      </c>
      <c r="G94" s="32" t="s">
        <v>132</v>
      </c>
      <c r="H94" s="5"/>
      <c r="I94" s="5"/>
      <c r="J94" s="5"/>
      <c r="K94" s="5"/>
      <c r="L94" s="28">
        <f t="shared" si="1"/>
        <v>82.924528301886795</v>
      </c>
      <c r="M94" s="5"/>
      <c r="N94" s="5"/>
      <c r="O94" s="5"/>
      <c r="P94" s="5"/>
      <c r="Q94" s="5"/>
      <c r="R94" s="5"/>
      <c r="S94" s="29"/>
      <c r="T94" s="30" t="s">
        <v>328</v>
      </c>
    </row>
    <row r="95" spans="1:20" x14ac:dyDescent="0.2">
      <c r="A95" s="26" t="s">
        <v>133</v>
      </c>
      <c r="B95" s="5" t="s">
        <v>115</v>
      </c>
      <c r="C95" s="6" t="s">
        <v>118</v>
      </c>
      <c r="D95" s="6" t="s">
        <v>119</v>
      </c>
      <c r="E95" s="27">
        <v>10.9</v>
      </c>
      <c r="F95" s="27">
        <v>571</v>
      </c>
      <c r="G95" s="32" t="s">
        <v>121</v>
      </c>
      <c r="H95" s="5"/>
      <c r="I95" s="5"/>
      <c r="J95" s="5"/>
      <c r="K95" s="5"/>
      <c r="L95" s="28">
        <f t="shared" si="1"/>
        <v>52.38532110091743</v>
      </c>
      <c r="M95" s="5"/>
      <c r="N95" s="5"/>
      <c r="O95" s="5"/>
      <c r="P95" s="5"/>
      <c r="Q95" s="5"/>
      <c r="R95" s="5"/>
      <c r="S95" s="29"/>
      <c r="T95" s="30" t="s">
        <v>329</v>
      </c>
    </row>
    <row r="96" spans="1:20" ht="16" customHeight="1" x14ac:dyDescent="0.2">
      <c r="A96" s="26" t="s">
        <v>134</v>
      </c>
      <c r="B96" s="5" t="s">
        <v>115</v>
      </c>
      <c r="C96" s="6" t="s">
        <v>135</v>
      </c>
      <c r="D96" s="6" t="s">
        <v>136</v>
      </c>
      <c r="E96" s="27">
        <v>2</v>
      </c>
      <c r="F96" s="27">
        <v>94.9</v>
      </c>
      <c r="G96" s="32" t="s">
        <v>20</v>
      </c>
      <c r="H96" s="5"/>
      <c r="I96" s="5"/>
      <c r="J96" s="5"/>
      <c r="K96" s="5"/>
      <c r="L96" s="28">
        <f t="shared" si="1"/>
        <v>47.45</v>
      </c>
      <c r="M96" s="5"/>
      <c r="N96" s="5"/>
      <c r="O96" s="5"/>
      <c r="P96" s="5"/>
      <c r="Q96" s="5"/>
      <c r="R96" s="5"/>
      <c r="S96" s="29"/>
      <c r="T96" s="30" t="s">
        <v>329</v>
      </c>
    </row>
    <row r="97" spans="1:20" x14ac:dyDescent="0.2">
      <c r="A97" s="26" t="s">
        <v>137</v>
      </c>
      <c r="B97" s="5" t="s">
        <v>115</v>
      </c>
      <c r="C97" s="6" t="s">
        <v>138</v>
      </c>
      <c r="D97" s="6" t="s">
        <v>139</v>
      </c>
      <c r="E97" s="27">
        <v>6</v>
      </c>
      <c r="F97" s="27">
        <v>269</v>
      </c>
      <c r="G97" s="32" t="s">
        <v>140</v>
      </c>
      <c r="H97" s="5"/>
      <c r="I97" s="5"/>
      <c r="J97" s="5"/>
      <c r="K97" s="5"/>
      <c r="L97" s="28">
        <f t="shared" si="1"/>
        <v>44.833333333333336</v>
      </c>
      <c r="M97" s="5"/>
      <c r="N97" s="5"/>
      <c r="O97" s="5"/>
      <c r="P97" s="5"/>
      <c r="Q97" s="5"/>
      <c r="R97" s="5"/>
      <c r="S97" s="29"/>
      <c r="T97" s="30" t="s">
        <v>329</v>
      </c>
    </row>
    <row r="98" spans="1:20" ht="29" x14ac:dyDescent="0.2">
      <c r="A98" s="26" t="s">
        <v>141</v>
      </c>
      <c r="B98" s="5" t="s">
        <v>115</v>
      </c>
      <c r="C98" s="6" t="s">
        <v>128</v>
      </c>
      <c r="D98" s="6" t="s">
        <v>129</v>
      </c>
      <c r="E98" s="27">
        <v>14.5</v>
      </c>
      <c r="F98" s="27">
        <v>950</v>
      </c>
      <c r="G98" s="32" t="s">
        <v>132</v>
      </c>
      <c r="H98" s="32" t="s">
        <v>121</v>
      </c>
      <c r="I98" s="5"/>
      <c r="J98" s="5"/>
      <c r="K98" s="5"/>
      <c r="L98" s="28">
        <f t="shared" si="1"/>
        <v>65.517241379310349</v>
      </c>
      <c r="M98" s="5"/>
      <c r="N98" s="5"/>
      <c r="O98" s="5"/>
      <c r="P98" s="5"/>
      <c r="Q98" s="5"/>
      <c r="R98" s="5"/>
      <c r="S98" s="29"/>
      <c r="T98" s="30" t="s">
        <v>329</v>
      </c>
    </row>
    <row r="99" spans="1:20" x14ac:dyDescent="0.2">
      <c r="A99" s="26" t="s">
        <v>142</v>
      </c>
      <c r="B99" s="5" t="s">
        <v>115</v>
      </c>
      <c r="C99" s="6" t="s">
        <v>118</v>
      </c>
      <c r="D99" s="6" t="s">
        <v>119</v>
      </c>
      <c r="E99" s="27">
        <v>32.5</v>
      </c>
      <c r="F99" s="27">
        <v>1291.7</v>
      </c>
      <c r="G99" s="32" t="s">
        <v>143</v>
      </c>
      <c r="H99" s="5"/>
      <c r="I99" s="5"/>
      <c r="J99" s="5"/>
      <c r="K99" s="5"/>
      <c r="L99" s="28">
        <f t="shared" si="1"/>
        <v>39.744615384615386</v>
      </c>
      <c r="M99" s="5"/>
      <c r="N99" s="5"/>
      <c r="O99" s="5"/>
      <c r="P99" s="5"/>
      <c r="Q99" s="5"/>
      <c r="R99" s="5"/>
      <c r="S99" s="29"/>
      <c r="T99" s="30" t="s">
        <v>329</v>
      </c>
    </row>
    <row r="100" spans="1:20" x14ac:dyDescent="0.2">
      <c r="A100" s="26" t="s">
        <v>144</v>
      </c>
      <c r="B100" s="5" t="s">
        <v>115</v>
      </c>
      <c r="C100" s="6" t="s">
        <v>124</v>
      </c>
      <c r="D100" s="6" t="s">
        <v>145</v>
      </c>
      <c r="E100" s="27">
        <v>9</v>
      </c>
      <c r="F100" s="27">
        <v>355</v>
      </c>
      <c r="G100" s="32" t="s">
        <v>130</v>
      </c>
      <c r="H100" s="5"/>
      <c r="I100" s="5"/>
      <c r="J100" s="5"/>
      <c r="K100" s="5"/>
      <c r="L100" s="28">
        <f t="shared" si="1"/>
        <v>39.444444444444443</v>
      </c>
      <c r="M100" s="5"/>
      <c r="N100" s="5"/>
      <c r="O100" s="5"/>
      <c r="P100" s="5"/>
      <c r="Q100" s="5"/>
      <c r="R100" s="5"/>
      <c r="S100" s="29"/>
      <c r="T100" s="30" t="s">
        <v>329</v>
      </c>
    </row>
    <row r="101" spans="1:20" ht="29" x14ac:dyDescent="0.2">
      <c r="A101" s="26" t="s">
        <v>146</v>
      </c>
      <c r="B101" s="5" t="s">
        <v>115</v>
      </c>
      <c r="C101" s="6" t="s">
        <v>118</v>
      </c>
      <c r="D101" s="6" t="s">
        <v>119</v>
      </c>
      <c r="E101" s="27">
        <v>10.8</v>
      </c>
      <c r="F101" s="27">
        <v>564</v>
      </c>
      <c r="G101" s="32" t="s">
        <v>143</v>
      </c>
      <c r="H101" s="32" t="s">
        <v>130</v>
      </c>
      <c r="I101" s="5"/>
      <c r="J101" s="5"/>
      <c r="K101" s="5"/>
      <c r="L101" s="28">
        <f t="shared" si="1"/>
        <v>52.222222222222221</v>
      </c>
      <c r="M101" s="5"/>
      <c r="N101" s="5"/>
      <c r="O101" s="5"/>
      <c r="P101" s="5"/>
      <c r="Q101" s="5"/>
      <c r="R101" s="5"/>
      <c r="S101" s="29"/>
      <c r="T101" s="30" t="s">
        <v>329</v>
      </c>
    </row>
    <row r="102" spans="1:20" x14ac:dyDescent="0.2">
      <c r="A102" s="26" t="s">
        <v>147</v>
      </c>
      <c r="B102" s="5" t="s">
        <v>115</v>
      </c>
      <c r="C102" s="6" t="s">
        <v>124</v>
      </c>
      <c r="D102" s="6" t="s">
        <v>148</v>
      </c>
      <c r="E102" s="27">
        <v>4.8</v>
      </c>
      <c r="F102" s="27">
        <v>163.5</v>
      </c>
      <c r="G102" s="32" t="s">
        <v>149</v>
      </c>
      <c r="H102" s="5"/>
      <c r="I102" s="5"/>
      <c r="J102" s="5"/>
      <c r="K102" s="5"/>
      <c r="L102" s="28">
        <f t="shared" si="1"/>
        <v>34.0625</v>
      </c>
      <c r="M102" s="5"/>
      <c r="N102" s="5"/>
      <c r="O102" s="5"/>
      <c r="P102" s="5"/>
      <c r="Q102" s="5"/>
      <c r="R102" s="5"/>
      <c r="S102" s="29"/>
      <c r="T102" s="30" t="s">
        <v>329</v>
      </c>
    </row>
    <row r="103" spans="1:20" ht="17" customHeight="1" x14ac:dyDescent="0.2">
      <c r="A103" s="26" t="s">
        <v>150</v>
      </c>
      <c r="B103" s="5" t="s">
        <v>115</v>
      </c>
      <c r="C103" s="6" t="s">
        <v>138</v>
      </c>
      <c r="D103" s="6" t="s">
        <v>151</v>
      </c>
      <c r="E103" s="27">
        <v>5.5</v>
      </c>
      <c r="F103" s="27">
        <v>179.45</v>
      </c>
      <c r="G103" s="32" t="s">
        <v>152</v>
      </c>
      <c r="H103" s="5"/>
      <c r="I103" s="5"/>
      <c r="J103" s="5"/>
      <c r="K103" s="5"/>
      <c r="L103" s="28">
        <f t="shared" si="1"/>
        <v>32.627272727272725</v>
      </c>
      <c r="M103" s="5"/>
      <c r="N103" s="5"/>
      <c r="O103" s="5"/>
      <c r="P103" s="5"/>
      <c r="Q103" s="5"/>
      <c r="R103" s="5"/>
      <c r="S103" s="29"/>
      <c r="T103" s="30" t="s">
        <v>329</v>
      </c>
    </row>
    <row r="104" spans="1:20" ht="29" x14ac:dyDescent="0.2">
      <c r="A104" s="26" t="s">
        <v>153</v>
      </c>
      <c r="B104" s="5" t="s">
        <v>115</v>
      </c>
      <c r="C104" s="6" t="s">
        <v>124</v>
      </c>
      <c r="D104" s="6" t="s">
        <v>154</v>
      </c>
      <c r="E104" s="27">
        <v>2</v>
      </c>
      <c r="F104" s="27">
        <v>58.5</v>
      </c>
      <c r="G104" s="32" t="s">
        <v>149</v>
      </c>
      <c r="H104" s="32" t="s">
        <v>130</v>
      </c>
      <c r="I104" s="5"/>
      <c r="J104" s="5"/>
      <c r="K104" s="5"/>
      <c r="L104" s="28">
        <f t="shared" si="1"/>
        <v>29.25</v>
      </c>
      <c r="M104" s="5"/>
      <c r="N104" s="5"/>
      <c r="O104" s="5"/>
      <c r="P104" s="5"/>
      <c r="Q104" s="5"/>
      <c r="R104" s="5"/>
      <c r="S104" s="29"/>
      <c r="T104" s="30" t="s">
        <v>329</v>
      </c>
    </row>
    <row r="105" spans="1:20" x14ac:dyDescent="0.2">
      <c r="A105" s="26" t="s">
        <v>155</v>
      </c>
      <c r="B105" s="5" t="s">
        <v>115</v>
      </c>
      <c r="C105" s="6" t="s">
        <v>118</v>
      </c>
      <c r="D105" s="6" t="s">
        <v>119</v>
      </c>
      <c r="E105" s="27">
        <v>12.5</v>
      </c>
      <c r="F105" s="27">
        <v>323</v>
      </c>
      <c r="G105" s="32" t="s">
        <v>132</v>
      </c>
      <c r="H105" s="5"/>
      <c r="I105" s="5"/>
      <c r="J105" s="5"/>
      <c r="K105" s="5"/>
      <c r="L105" s="28">
        <f t="shared" si="1"/>
        <v>25.84</v>
      </c>
      <c r="M105" s="5"/>
      <c r="N105" s="5"/>
      <c r="O105" s="5"/>
      <c r="P105" s="5"/>
      <c r="Q105" s="5"/>
      <c r="R105" s="5"/>
      <c r="S105" s="29"/>
      <c r="T105" s="30" t="s">
        <v>329</v>
      </c>
    </row>
    <row r="106" spans="1:20" x14ac:dyDescent="0.2">
      <c r="A106" s="26" t="s">
        <v>156</v>
      </c>
      <c r="B106" s="5" t="s">
        <v>115</v>
      </c>
      <c r="C106" s="6" t="s">
        <v>124</v>
      </c>
      <c r="D106" s="6" t="s">
        <v>157</v>
      </c>
      <c r="E106" s="27">
        <v>6.7</v>
      </c>
      <c r="F106" s="27">
        <v>170.55</v>
      </c>
      <c r="G106" s="32" t="s">
        <v>158</v>
      </c>
      <c r="H106" s="5"/>
      <c r="I106" s="5"/>
      <c r="J106" s="5"/>
      <c r="K106" s="5"/>
      <c r="L106" s="28">
        <f t="shared" si="1"/>
        <v>25.455223880597018</v>
      </c>
      <c r="M106" s="5"/>
      <c r="N106" s="5"/>
      <c r="O106" s="5"/>
      <c r="P106" s="5"/>
      <c r="Q106" s="5"/>
      <c r="R106" s="5"/>
      <c r="S106" s="29"/>
      <c r="T106" s="30" t="s">
        <v>329</v>
      </c>
    </row>
    <row r="107" spans="1:20" x14ac:dyDescent="0.2">
      <c r="A107" s="26" t="s">
        <v>159</v>
      </c>
      <c r="B107" s="5" t="s">
        <v>115</v>
      </c>
      <c r="C107" s="6" t="s">
        <v>118</v>
      </c>
      <c r="D107" s="6" t="s">
        <v>119</v>
      </c>
      <c r="E107" s="27">
        <v>20</v>
      </c>
      <c r="F107" s="27">
        <v>420</v>
      </c>
      <c r="G107" s="32" t="s">
        <v>45</v>
      </c>
      <c r="H107" s="5"/>
      <c r="I107" s="5"/>
      <c r="J107" s="5"/>
      <c r="K107" s="5"/>
      <c r="L107" s="28">
        <f t="shared" si="1"/>
        <v>21</v>
      </c>
      <c r="M107" s="5"/>
      <c r="N107" s="5"/>
      <c r="O107" s="5"/>
      <c r="P107" s="5"/>
      <c r="Q107" s="5"/>
      <c r="R107" s="5"/>
      <c r="S107" s="29"/>
      <c r="T107" s="30" t="s">
        <v>329</v>
      </c>
    </row>
    <row r="108" spans="1:20" x14ac:dyDescent="0.2">
      <c r="A108" s="26" t="s">
        <v>160</v>
      </c>
      <c r="B108" s="5" t="s">
        <v>115</v>
      </c>
      <c r="C108" s="6" t="s">
        <v>161</v>
      </c>
      <c r="D108" s="6" t="s">
        <v>162</v>
      </c>
      <c r="E108" s="27">
        <v>6.5</v>
      </c>
      <c r="F108" s="27">
        <v>126</v>
      </c>
      <c r="G108" s="32" t="s">
        <v>149</v>
      </c>
      <c r="H108" s="5"/>
      <c r="I108" s="5"/>
      <c r="J108" s="5"/>
      <c r="K108" s="5"/>
      <c r="L108" s="28">
        <f t="shared" si="1"/>
        <v>19.384615384615383</v>
      </c>
      <c r="M108" s="5"/>
      <c r="N108" s="5"/>
      <c r="O108" s="5"/>
      <c r="P108" s="5"/>
      <c r="Q108" s="5"/>
      <c r="R108" s="5"/>
      <c r="S108" s="29"/>
      <c r="T108" s="30" t="s">
        <v>329</v>
      </c>
    </row>
    <row r="109" spans="1:20" x14ac:dyDescent="0.2">
      <c r="A109" s="26" t="s">
        <v>163</v>
      </c>
      <c r="B109" s="5" t="s">
        <v>115</v>
      </c>
      <c r="C109" s="6" t="s">
        <v>138</v>
      </c>
      <c r="D109" s="6" t="s">
        <v>139</v>
      </c>
      <c r="E109" s="27">
        <v>3</v>
      </c>
      <c r="F109" s="27">
        <v>57.5</v>
      </c>
      <c r="G109" s="32" t="s">
        <v>164</v>
      </c>
      <c r="H109" s="5"/>
      <c r="I109" s="5"/>
      <c r="J109" s="5"/>
      <c r="K109" s="5"/>
      <c r="L109" s="28">
        <f t="shared" si="1"/>
        <v>19.166666666666668</v>
      </c>
      <c r="M109" s="5"/>
      <c r="N109" s="5"/>
      <c r="O109" s="5"/>
      <c r="P109" s="5"/>
      <c r="Q109" s="5"/>
      <c r="R109" s="5"/>
      <c r="S109" s="29"/>
      <c r="T109" s="30" t="s">
        <v>329</v>
      </c>
    </row>
    <row r="110" spans="1:20" ht="29" x14ac:dyDescent="0.2">
      <c r="A110" s="26" t="s">
        <v>165</v>
      </c>
      <c r="B110" s="5" t="s">
        <v>115</v>
      </c>
      <c r="C110" s="6" t="s">
        <v>124</v>
      </c>
      <c r="D110" s="6" t="s">
        <v>125</v>
      </c>
      <c r="E110" s="27">
        <v>10.8</v>
      </c>
      <c r="F110" s="27">
        <v>173.5</v>
      </c>
      <c r="G110" s="32" t="s">
        <v>140</v>
      </c>
      <c r="H110" s="32" t="s">
        <v>149</v>
      </c>
      <c r="I110" s="5"/>
      <c r="J110" s="5"/>
      <c r="K110" s="5"/>
      <c r="L110" s="28">
        <f t="shared" si="1"/>
        <v>16.064814814814813</v>
      </c>
      <c r="M110" s="5"/>
      <c r="N110" s="5"/>
      <c r="O110" s="5"/>
      <c r="P110" s="5"/>
      <c r="Q110" s="5"/>
      <c r="R110" s="5"/>
      <c r="S110" s="29"/>
      <c r="T110" s="30" t="s">
        <v>329</v>
      </c>
    </row>
    <row r="111" spans="1:20" x14ac:dyDescent="0.2">
      <c r="A111" s="26" t="s">
        <v>166</v>
      </c>
      <c r="B111" s="5" t="s">
        <v>115</v>
      </c>
      <c r="C111" s="6" t="s">
        <v>138</v>
      </c>
      <c r="D111" s="6" t="s">
        <v>151</v>
      </c>
      <c r="E111" s="27">
        <v>8.25</v>
      </c>
      <c r="F111" s="27">
        <v>132.5</v>
      </c>
      <c r="G111" s="32" t="s">
        <v>130</v>
      </c>
      <c r="H111" s="5"/>
      <c r="I111" s="5"/>
      <c r="J111" s="5"/>
      <c r="K111" s="5"/>
      <c r="L111" s="28">
        <f t="shared" si="1"/>
        <v>16.060606060606062</v>
      </c>
      <c r="M111" s="5"/>
      <c r="N111" s="5"/>
      <c r="O111" s="5"/>
      <c r="P111" s="5"/>
      <c r="Q111" s="5"/>
      <c r="R111" s="5"/>
      <c r="S111" s="29"/>
      <c r="T111" s="30" t="s">
        <v>329</v>
      </c>
    </row>
    <row r="112" spans="1:20" x14ac:dyDescent="0.2">
      <c r="A112" s="26" t="s">
        <v>167</v>
      </c>
      <c r="B112" s="5" t="s">
        <v>115</v>
      </c>
      <c r="C112" s="6" t="s">
        <v>138</v>
      </c>
      <c r="D112" s="6" t="s">
        <v>151</v>
      </c>
      <c r="E112" s="27">
        <v>6.5</v>
      </c>
      <c r="F112" s="27">
        <v>100</v>
      </c>
      <c r="G112" s="32" t="s">
        <v>130</v>
      </c>
      <c r="H112" s="5"/>
      <c r="I112" s="5"/>
      <c r="J112" s="5"/>
      <c r="K112" s="5"/>
      <c r="L112" s="28">
        <f t="shared" si="1"/>
        <v>15.384615384615385</v>
      </c>
      <c r="M112" s="5"/>
      <c r="N112" s="5"/>
      <c r="O112" s="5"/>
      <c r="P112" s="5"/>
      <c r="Q112" s="5"/>
      <c r="R112" s="5"/>
      <c r="S112" s="29"/>
      <c r="T112" s="30" t="s">
        <v>329</v>
      </c>
    </row>
    <row r="113" spans="1:20" x14ac:dyDescent="0.2">
      <c r="A113" s="26" t="s">
        <v>168</v>
      </c>
      <c r="B113" s="5" t="s">
        <v>115</v>
      </c>
      <c r="C113" s="6" t="s">
        <v>138</v>
      </c>
      <c r="D113" s="6" t="s">
        <v>139</v>
      </c>
      <c r="E113" s="27">
        <v>5</v>
      </c>
      <c r="F113" s="27">
        <v>75</v>
      </c>
      <c r="G113" s="32" t="s">
        <v>130</v>
      </c>
      <c r="H113" s="5"/>
      <c r="I113" s="5"/>
      <c r="J113" s="5"/>
      <c r="K113" s="5"/>
      <c r="L113" s="28">
        <f t="shared" si="1"/>
        <v>15</v>
      </c>
      <c r="M113" s="5"/>
      <c r="N113" s="5"/>
      <c r="O113" s="5"/>
      <c r="P113" s="5"/>
      <c r="Q113" s="5"/>
      <c r="R113" s="5"/>
      <c r="S113" s="29"/>
      <c r="T113" s="30" t="s">
        <v>329</v>
      </c>
    </row>
    <row r="114" spans="1:20" x14ac:dyDescent="0.2">
      <c r="A114" s="26" t="s">
        <v>169</v>
      </c>
      <c r="B114" s="5" t="s">
        <v>115</v>
      </c>
      <c r="C114" s="6" t="s">
        <v>124</v>
      </c>
      <c r="D114" s="6" t="s">
        <v>148</v>
      </c>
      <c r="E114" s="27">
        <v>6</v>
      </c>
      <c r="F114" s="27">
        <v>87.5</v>
      </c>
      <c r="G114" s="32" t="s">
        <v>130</v>
      </c>
      <c r="H114" s="5"/>
      <c r="I114" s="5"/>
      <c r="J114" s="5"/>
      <c r="K114" s="5"/>
      <c r="L114" s="28">
        <f t="shared" si="1"/>
        <v>14.583333333333334</v>
      </c>
      <c r="M114" s="5"/>
      <c r="N114" s="5"/>
      <c r="O114" s="5"/>
      <c r="P114" s="5"/>
      <c r="Q114" s="5"/>
      <c r="R114" s="5"/>
      <c r="S114" s="29"/>
      <c r="T114" s="30" t="s">
        <v>329</v>
      </c>
    </row>
    <row r="115" spans="1:20" x14ac:dyDescent="0.2">
      <c r="A115" s="26" t="s">
        <v>170</v>
      </c>
      <c r="B115" s="5" t="s">
        <v>115</v>
      </c>
      <c r="C115" s="6" t="s">
        <v>118</v>
      </c>
      <c r="D115" s="6" t="s">
        <v>119</v>
      </c>
      <c r="E115" s="27">
        <v>28.8</v>
      </c>
      <c r="F115" s="27">
        <v>417</v>
      </c>
      <c r="G115" s="32" t="s">
        <v>171</v>
      </c>
      <c r="H115" s="5"/>
      <c r="I115" s="5"/>
      <c r="J115" s="5"/>
      <c r="K115" s="5"/>
      <c r="L115" s="28">
        <f t="shared" si="1"/>
        <v>14.479166666666666</v>
      </c>
      <c r="M115" s="5"/>
      <c r="N115" s="5"/>
      <c r="O115" s="5"/>
      <c r="P115" s="5"/>
      <c r="Q115" s="5"/>
      <c r="R115" s="5"/>
      <c r="S115" s="29"/>
      <c r="T115" s="30" t="s">
        <v>329</v>
      </c>
    </row>
    <row r="116" spans="1:20" ht="29" x14ac:dyDescent="0.2">
      <c r="A116" s="26" t="s">
        <v>172</v>
      </c>
      <c r="B116" s="5" t="s">
        <v>115</v>
      </c>
      <c r="C116" s="6" t="s">
        <v>118</v>
      </c>
      <c r="D116" s="6" t="s">
        <v>119</v>
      </c>
      <c r="E116" s="27">
        <v>21.4</v>
      </c>
      <c r="F116" s="27">
        <v>302.8</v>
      </c>
      <c r="G116" s="32" t="s">
        <v>143</v>
      </c>
      <c r="H116" s="32" t="s">
        <v>387</v>
      </c>
      <c r="I116" s="5"/>
      <c r="J116" s="5"/>
      <c r="K116" s="5"/>
      <c r="L116" s="28">
        <f t="shared" si="1"/>
        <v>14.149532710280376</v>
      </c>
      <c r="M116" s="5"/>
      <c r="N116" s="5"/>
      <c r="O116" s="5"/>
      <c r="P116" s="5"/>
      <c r="Q116" s="5"/>
      <c r="R116" s="5"/>
      <c r="S116" s="29"/>
      <c r="T116" s="30" t="s">
        <v>329</v>
      </c>
    </row>
    <row r="117" spans="1:20" x14ac:dyDescent="0.2">
      <c r="A117" s="26" t="s">
        <v>173</v>
      </c>
      <c r="B117" s="5" t="s">
        <v>115</v>
      </c>
      <c r="C117" s="6" t="s">
        <v>161</v>
      </c>
      <c r="D117" s="6" t="s">
        <v>174</v>
      </c>
      <c r="E117" s="27">
        <v>6.3</v>
      </c>
      <c r="F117" s="27">
        <v>88</v>
      </c>
      <c r="G117" s="32" t="s">
        <v>149</v>
      </c>
      <c r="H117" s="5"/>
      <c r="I117" s="5"/>
      <c r="J117" s="5"/>
      <c r="K117" s="5"/>
      <c r="L117" s="28">
        <f t="shared" si="1"/>
        <v>13.968253968253968</v>
      </c>
      <c r="M117" s="5"/>
      <c r="N117" s="5"/>
      <c r="O117" s="5"/>
      <c r="P117" s="5"/>
      <c r="Q117" s="5"/>
      <c r="R117" s="5"/>
      <c r="S117" s="29"/>
      <c r="T117" s="30" t="s">
        <v>329</v>
      </c>
    </row>
    <row r="118" spans="1:20" ht="29" x14ac:dyDescent="0.2">
      <c r="A118" s="26" t="s">
        <v>175</v>
      </c>
      <c r="B118" s="5" t="s">
        <v>115</v>
      </c>
      <c r="C118" s="6" t="s">
        <v>124</v>
      </c>
      <c r="D118" s="6" t="s">
        <v>125</v>
      </c>
      <c r="E118" s="27">
        <v>10</v>
      </c>
      <c r="F118" s="27">
        <v>130</v>
      </c>
      <c r="G118" s="32" t="s">
        <v>140</v>
      </c>
      <c r="H118" s="32" t="s">
        <v>377</v>
      </c>
      <c r="I118" s="32" t="s">
        <v>388</v>
      </c>
      <c r="J118" s="5"/>
      <c r="K118" s="5"/>
      <c r="L118" s="28">
        <f t="shared" si="1"/>
        <v>13</v>
      </c>
      <c r="M118" s="5"/>
      <c r="N118" s="5"/>
      <c r="O118" s="5"/>
      <c r="P118" s="5"/>
      <c r="Q118" s="5"/>
      <c r="R118" s="5"/>
      <c r="S118" s="29"/>
      <c r="T118" s="30" t="s">
        <v>329</v>
      </c>
    </row>
    <row r="119" spans="1:20" ht="29" x14ac:dyDescent="0.2">
      <c r="A119" s="26" t="s">
        <v>176</v>
      </c>
      <c r="B119" s="5" t="s">
        <v>115</v>
      </c>
      <c r="C119" s="6" t="s">
        <v>124</v>
      </c>
      <c r="D119" s="6" t="s">
        <v>125</v>
      </c>
      <c r="E119" s="27">
        <v>12.4</v>
      </c>
      <c r="F119" s="27">
        <v>150</v>
      </c>
      <c r="G119" s="32" t="s">
        <v>390</v>
      </c>
      <c r="H119" s="32" t="s">
        <v>389</v>
      </c>
      <c r="I119" s="32" t="s">
        <v>140</v>
      </c>
      <c r="J119" s="32" t="s">
        <v>377</v>
      </c>
      <c r="K119" s="5"/>
      <c r="L119" s="28">
        <f t="shared" si="1"/>
        <v>12.096774193548386</v>
      </c>
      <c r="M119" s="5"/>
      <c r="N119" s="5"/>
      <c r="O119" s="5"/>
      <c r="P119" s="5"/>
      <c r="Q119" s="5"/>
      <c r="R119" s="5"/>
      <c r="S119" s="29"/>
      <c r="T119" s="30" t="s">
        <v>329</v>
      </c>
    </row>
    <row r="120" spans="1:20" x14ac:dyDescent="0.2">
      <c r="A120" s="26" t="s">
        <v>177</v>
      </c>
      <c r="B120" s="5" t="s">
        <v>115</v>
      </c>
      <c r="C120" s="6" t="s">
        <v>118</v>
      </c>
      <c r="D120" s="6" t="s">
        <v>119</v>
      </c>
      <c r="E120" s="27">
        <v>46.2</v>
      </c>
      <c r="F120" s="27">
        <v>500</v>
      </c>
      <c r="G120" s="32" t="s">
        <v>143</v>
      </c>
      <c r="H120" s="5"/>
      <c r="I120" s="5"/>
      <c r="J120" s="5"/>
      <c r="K120" s="5"/>
      <c r="L120" s="28">
        <f t="shared" si="1"/>
        <v>10.822510822510822</v>
      </c>
      <c r="M120" s="5"/>
      <c r="N120" s="5"/>
      <c r="O120" s="5"/>
      <c r="P120" s="5"/>
      <c r="Q120" s="5"/>
      <c r="R120" s="5"/>
      <c r="S120" s="29"/>
      <c r="T120" s="30" t="s">
        <v>329</v>
      </c>
    </row>
    <row r="121" spans="1:20" x14ac:dyDescent="0.2">
      <c r="A121" s="26" t="s">
        <v>178</v>
      </c>
      <c r="B121" s="5" t="s">
        <v>115</v>
      </c>
      <c r="C121" s="6" t="s">
        <v>118</v>
      </c>
      <c r="D121" s="6" t="s">
        <v>119</v>
      </c>
      <c r="E121" s="27">
        <v>21.7</v>
      </c>
      <c r="F121" s="27">
        <v>222.5</v>
      </c>
      <c r="G121" s="32" t="s">
        <v>179</v>
      </c>
      <c r="H121" s="5"/>
      <c r="I121" s="5"/>
      <c r="J121" s="5"/>
      <c r="K121" s="5"/>
      <c r="L121" s="28">
        <f t="shared" si="1"/>
        <v>10.253456221198157</v>
      </c>
      <c r="M121" s="5"/>
      <c r="N121" s="5"/>
      <c r="O121" s="5"/>
      <c r="P121" s="5"/>
      <c r="Q121" s="5"/>
      <c r="R121" s="5"/>
      <c r="S121" s="29"/>
      <c r="T121" s="30" t="s">
        <v>329</v>
      </c>
    </row>
    <row r="122" spans="1:20" x14ac:dyDescent="0.2">
      <c r="A122" s="26" t="s">
        <v>180</v>
      </c>
      <c r="B122" s="5" t="s">
        <v>115</v>
      </c>
      <c r="C122" s="6" t="s">
        <v>124</v>
      </c>
      <c r="D122" s="6" t="s">
        <v>145</v>
      </c>
      <c r="E122" s="27">
        <v>4.0999999999999996</v>
      </c>
      <c r="F122" s="27">
        <v>42</v>
      </c>
      <c r="G122" s="32" t="s">
        <v>149</v>
      </c>
      <c r="H122" s="5"/>
      <c r="I122" s="5"/>
      <c r="J122" s="5"/>
      <c r="K122" s="5"/>
      <c r="L122" s="28">
        <f t="shared" si="1"/>
        <v>10.24390243902439</v>
      </c>
      <c r="M122" s="5"/>
      <c r="N122" s="5"/>
      <c r="O122" s="5"/>
      <c r="P122" s="5"/>
      <c r="Q122" s="5"/>
      <c r="R122" s="5"/>
      <c r="S122" s="29"/>
      <c r="T122" s="30" t="s">
        <v>329</v>
      </c>
    </row>
    <row r="123" spans="1:20" x14ac:dyDescent="0.2">
      <c r="A123" s="26" t="s">
        <v>181</v>
      </c>
      <c r="B123" s="5" t="s">
        <v>115</v>
      </c>
      <c r="C123" s="6" t="s">
        <v>124</v>
      </c>
      <c r="D123" s="6" t="s">
        <v>125</v>
      </c>
      <c r="E123" s="27">
        <v>12.5</v>
      </c>
      <c r="F123" s="27">
        <v>128</v>
      </c>
      <c r="G123" s="32" t="s">
        <v>140</v>
      </c>
      <c r="H123" s="5"/>
      <c r="I123" s="5"/>
      <c r="J123" s="5"/>
      <c r="K123" s="5"/>
      <c r="L123" s="28">
        <f t="shared" si="1"/>
        <v>10.24</v>
      </c>
      <c r="M123" s="5"/>
      <c r="N123" s="5"/>
      <c r="O123" s="5"/>
      <c r="P123" s="5"/>
      <c r="Q123" s="5"/>
      <c r="R123" s="5"/>
      <c r="S123" s="29"/>
      <c r="T123" s="30" t="s">
        <v>329</v>
      </c>
    </row>
    <row r="124" spans="1:20" x14ac:dyDescent="0.2">
      <c r="A124" s="26" t="s">
        <v>182</v>
      </c>
      <c r="B124" s="5" t="s">
        <v>115</v>
      </c>
      <c r="C124" s="6" t="s">
        <v>116</v>
      </c>
      <c r="D124" s="6" t="s">
        <v>183</v>
      </c>
      <c r="E124" s="27">
        <v>23.5</v>
      </c>
      <c r="F124" s="27">
        <v>237.5</v>
      </c>
      <c r="G124" s="32" t="s">
        <v>130</v>
      </c>
      <c r="H124" s="5"/>
      <c r="I124" s="5"/>
      <c r="J124" s="5"/>
      <c r="K124" s="5"/>
      <c r="L124" s="28">
        <f t="shared" si="1"/>
        <v>10.106382978723405</v>
      </c>
      <c r="M124" s="5"/>
      <c r="N124" s="5"/>
      <c r="O124" s="5"/>
      <c r="P124" s="5"/>
      <c r="Q124" s="5"/>
      <c r="R124" s="5"/>
      <c r="S124" s="29"/>
      <c r="T124" s="30" t="s">
        <v>329</v>
      </c>
    </row>
    <row r="125" spans="1:20" x14ac:dyDescent="0.2">
      <c r="A125" s="26" t="s">
        <v>184</v>
      </c>
      <c r="B125" s="5" t="s">
        <v>115</v>
      </c>
      <c r="C125" s="6" t="s">
        <v>118</v>
      </c>
      <c r="D125" s="6" t="s">
        <v>119</v>
      </c>
      <c r="E125" s="27">
        <v>33.200000000000003</v>
      </c>
      <c r="F125" s="27">
        <v>333.3</v>
      </c>
      <c r="G125" s="32" t="s">
        <v>185</v>
      </c>
      <c r="H125" s="5"/>
      <c r="I125" s="5"/>
      <c r="J125" s="5"/>
      <c r="K125" s="5"/>
      <c r="L125" s="28">
        <f t="shared" si="1"/>
        <v>10.039156626506024</v>
      </c>
      <c r="M125" s="5"/>
      <c r="N125" s="5"/>
      <c r="O125" s="5"/>
      <c r="P125" s="5"/>
      <c r="Q125" s="5"/>
      <c r="R125" s="5"/>
      <c r="S125" s="29"/>
      <c r="T125" s="30" t="s">
        <v>329</v>
      </c>
    </row>
    <row r="126" spans="1:20" ht="29" x14ac:dyDescent="0.2">
      <c r="A126" s="26" t="s">
        <v>186</v>
      </c>
      <c r="B126" s="5" t="s">
        <v>115</v>
      </c>
      <c r="C126" s="6" t="s">
        <v>118</v>
      </c>
      <c r="D126" s="6" t="s">
        <v>119</v>
      </c>
      <c r="E126" s="27">
        <v>14.8</v>
      </c>
      <c r="F126" s="27">
        <v>141.05000000000001</v>
      </c>
      <c r="G126" s="32" t="s">
        <v>212</v>
      </c>
      <c r="H126" s="32" t="s">
        <v>149</v>
      </c>
      <c r="I126" s="32" t="s">
        <v>359</v>
      </c>
      <c r="J126" s="5"/>
      <c r="K126" s="5"/>
      <c r="L126" s="28">
        <f t="shared" si="1"/>
        <v>9.5304054054054053</v>
      </c>
      <c r="M126" s="5"/>
      <c r="N126" s="5"/>
      <c r="O126" s="5"/>
      <c r="P126" s="5"/>
      <c r="Q126" s="5"/>
      <c r="R126" s="5"/>
      <c r="S126" s="29"/>
      <c r="T126" s="30" t="s">
        <v>329</v>
      </c>
    </row>
    <row r="127" spans="1:20" x14ac:dyDescent="0.2">
      <c r="A127" s="26" t="s">
        <v>187</v>
      </c>
      <c r="B127" s="5" t="s">
        <v>115</v>
      </c>
      <c r="C127" s="6" t="s">
        <v>118</v>
      </c>
      <c r="D127" s="6" t="s">
        <v>119</v>
      </c>
      <c r="E127" s="27">
        <v>15.5</v>
      </c>
      <c r="F127" s="27">
        <v>138.9</v>
      </c>
      <c r="G127" s="32" t="s">
        <v>188</v>
      </c>
      <c r="H127" s="5"/>
      <c r="I127" s="5"/>
      <c r="J127" s="5"/>
      <c r="K127" s="5"/>
      <c r="L127" s="28">
        <f t="shared" si="1"/>
        <v>8.9612903225806448</v>
      </c>
      <c r="M127" s="5"/>
      <c r="N127" s="5"/>
      <c r="O127" s="5"/>
      <c r="P127" s="5"/>
      <c r="Q127" s="5"/>
      <c r="R127" s="5"/>
      <c r="S127" s="29"/>
      <c r="T127" s="30" t="s">
        <v>329</v>
      </c>
    </row>
    <row r="128" spans="1:20" x14ac:dyDescent="0.2">
      <c r="A128" s="26" t="s">
        <v>189</v>
      </c>
      <c r="B128" s="5" t="s">
        <v>115</v>
      </c>
      <c r="C128" s="6" t="s">
        <v>138</v>
      </c>
      <c r="D128" s="6" t="s">
        <v>139</v>
      </c>
      <c r="E128" s="27">
        <v>8.6999999999999993</v>
      </c>
      <c r="F128" s="27">
        <v>77</v>
      </c>
      <c r="G128" s="32" t="s">
        <v>190</v>
      </c>
      <c r="H128" s="5"/>
      <c r="I128" s="5"/>
      <c r="J128" s="5"/>
      <c r="K128" s="5"/>
      <c r="L128" s="28">
        <f t="shared" si="1"/>
        <v>8.8505747126436791</v>
      </c>
      <c r="M128" s="5"/>
      <c r="N128" s="5"/>
      <c r="O128" s="5"/>
      <c r="P128" s="5"/>
      <c r="Q128" s="5"/>
      <c r="R128" s="5"/>
      <c r="S128" s="29"/>
      <c r="T128" s="30" t="s">
        <v>329</v>
      </c>
    </row>
    <row r="129" spans="1:20" ht="57" x14ac:dyDescent="0.2">
      <c r="A129" s="26" t="s">
        <v>191</v>
      </c>
      <c r="B129" s="5" t="s">
        <v>115</v>
      </c>
      <c r="C129" s="6" t="s">
        <v>118</v>
      </c>
      <c r="D129" s="6" t="s">
        <v>119</v>
      </c>
      <c r="E129" s="27">
        <v>37.5</v>
      </c>
      <c r="F129" s="27">
        <v>324</v>
      </c>
      <c r="G129" s="32" t="s">
        <v>391</v>
      </c>
      <c r="H129" s="32" t="s">
        <v>140</v>
      </c>
      <c r="I129" s="32" t="s">
        <v>212</v>
      </c>
      <c r="J129" s="32" t="s">
        <v>143</v>
      </c>
      <c r="K129" s="32" t="s">
        <v>372</v>
      </c>
      <c r="L129" s="28">
        <f t="shared" si="1"/>
        <v>8.64</v>
      </c>
      <c r="M129" s="5"/>
      <c r="N129" s="5"/>
      <c r="O129" s="5"/>
      <c r="P129" s="5"/>
      <c r="Q129" s="5"/>
      <c r="R129" s="5"/>
      <c r="S129" s="29"/>
      <c r="T129" s="30" t="s">
        <v>329</v>
      </c>
    </row>
    <row r="130" spans="1:20" ht="29" x14ac:dyDescent="0.2">
      <c r="A130" s="26" t="s">
        <v>192</v>
      </c>
      <c r="B130" s="5" t="s">
        <v>115</v>
      </c>
      <c r="C130" s="6" t="s">
        <v>116</v>
      </c>
      <c r="D130" s="6" t="s">
        <v>117</v>
      </c>
      <c r="E130" s="27">
        <v>20</v>
      </c>
      <c r="F130" s="27">
        <v>172</v>
      </c>
      <c r="G130" s="32" t="s">
        <v>392</v>
      </c>
      <c r="H130" s="32" t="s">
        <v>372</v>
      </c>
      <c r="I130" s="5"/>
      <c r="J130" s="5"/>
      <c r="K130" s="5"/>
      <c r="L130" s="28">
        <f t="shared" si="1"/>
        <v>8.6</v>
      </c>
      <c r="M130" s="5"/>
      <c r="N130" s="5"/>
      <c r="O130" s="5"/>
      <c r="P130" s="5"/>
      <c r="Q130" s="5"/>
      <c r="R130" s="5"/>
      <c r="S130" s="29"/>
      <c r="T130" s="30" t="s">
        <v>329</v>
      </c>
    </row>
    <row r="131" spans="1:20" x14ac:dyDescent="0.2">
      <c r="A131" s="26" t="s">
        <v>193</v>
      </c>
      <c r="B131" s="5" t="s">
        <v>115</v>
      </c>
      <c r="C131" s="6" t="s">
        <v>118</v>
      </c>
      <c r="D131" s="6" t="s">
        <v>119</v>
      </c>
      <c r="E131" s="27">
        <v>30</v>
      </c>
      <c r="F131" s="27">
        <v>250</v>
      </c>
      <c r="G131" s="32" t="s">
        <v>143</v>
      </c>
      <c r="H131" s="32" t="s">
        <v>368</v>
      </c>
      <c r="I131" s="5"/>
      <c r="J131" s="5"/>
      <c r="K131" s="5"/>
      <c r="L131" s="28">
        <f t="shared" si="1"/>
        <v>8.3333333333333339</v>
      </c>
      <c r="M131" s="5"/>
      <c r="N131" s="5"/>
      <c r="O131" s="5"/>
      <c r="P131" s="5"/>
      <c r="Q131" s="5"/>
      <c r="R131" s="5"/>
      <c r="S131" s="29"/>
      <c r="T131" s="30" t="s">
        <v>329</v>
      </c>
    </row>
    <row r="132" spans="1:20" x14ac:dyDescent="0.2">
      <c r="A132" s="26" t="s">
        <v>194</v>
      </c>
      <c r="B132" s="5" t="s">
        <v>115</v>
      </c>
      <c r="C132" s="6" t="s">
        <v>138</v>
      </c>
      <c r="D132" s="6" t="s">
        <v>139</v>
      </c>
      <c r="E132" s="27">
        <v>14.7</v>
      </c>
      <c r="F132" s="27">
        <v>116.85</v>
      </c>
      <c r="G132" s="32" t="s">
        <v>152</v>
      </c>
      <c r="H132" s="5"/>
      <c r="I132" s="5"/>
      <c r="J132" s="5"/>
      <c r="K132" s="5"/>
      <c r="L132" s="28">
        <f t="shared" ref="L132:L195" si="2">F132/E132</f>
        <v>7.9489795918367347</v>
      </c>
      <c r="M132" s="5"/>
      <c r="N132" s="5"/>
      <c r="O132" s="5"/>
      <c r="P132" s="5"/>
      <c r="Q132" s="5"/>
      <c r="R132" s="5"/>
      <c r="S132" s="29"/>
      <c r="T132" s="30" t="s">
        <v>329</v>
      </c>
    </row>
    <row r="133" spans="1:20" x14ac:dyDescent="0.2">
      <c r="A133" s="26" t="s">
        <v>195</v>
      </c>
      <c r="B133" s="5" t="s">
        <v>115</v>
      </c>
      <c r="C133" s="6" t="s">
        <v>118</v>
      </c>
      <c r="D133" s="6" t="s">
        <v>119</v>
      </c>
      <c r="E133" s="27">
        <v>65</v>
      </c>
      <c r="F133" s="27">
        <v>500</v>
      </c>
      <c r="G133" s="32" t="s">
        <v>196</v>
      </c>
      <c r="H133" s="5"/>
      <c r="I133" s="5"/>
      <c r="J133" s="5"/>
      <c r="K133" s="5"/>
      <c r="L133" s="28">
        <f t="shared" si="2"/>
        <v>7.6923076923076925</v>
      </c>
      <c r="M133" s="5"/>
      <c r="N133" s="5"/>
      <c r="O133" s="5"/>
      <c r="P133" s="5"/>
      <c r="Q133" s="5"/>
      <c r="R133" s="5"/>
      <c r="S133" s="29"/>
      <c r="T133" s="30" t="s">
        <v>329</v>
      </c>
    </row>
    <row r="134" spans="1:20" x14ac:dyDescent="0.2">
      <c r="A134" s="26" t="s">
        <v>197</v>
      </c>
      <c r="B134" s="5" t="s">
        <v>115</v>
      </c>
      <c r="C134" s="6" t="s">
        <v>118</v>
      </c>
      <c r="D134" s="6" t="s">
        <v>198</v>
      </c>
      <c r="E134" s="27">
        <v>39.5</v>
      </c>
      <c r="F134" s="27">
        <v>300</v>
      </c>
      <c r="G134" s="32" t="s">
        <v>393</v>
      </c>
      <c r="H134" s="32" t="s">
        <v>120</v>
      </c>
      <c r="I134" s="32"/>
      <c r="J134" s="32"/>
      <c r="K134" s="32"/>
      <c r="L134" s="28">
        <f t="shared" si="2"/>
        <v>7.5949367088607591</v>
      </c>
      <c r="M134" s="5"/>
      <c r="N134" s="5"/>
      <c r="O134" s="5"/>
      <c r="P134" s="5"/>
      <c r="Q134" s="5"/>
      <c r="R134" s="5"/>
      <c r="S134" s="29"/>
      <c r="T134" s="30" t="s">
        <v>329</v>
      </c>
    </row>
    <row r="135" spans="1:20" x14ac:dyDescent="0.2">
      <c r="A135" s="26" t="s">
        <v>199</v>
      </c>
      <c r="B135" s="5" t="s">
        <v>115</v>
      </c>
      <c r="C135" s="6" t="s">
        <v>118</v>
      </c>
      <c r="D135" s="6" t="s">
        <v>119</v>
      </c>
      <c r="E135" s="27">
        <v>54</v>
      </c>
      <c r="F135" s="27">
        <v>410</v>
      </c>
      <c r="G135" s="32" t="s">
        <v>45</v>
      </c>
      <c r="H135" s="5"/>
      <c r="I135" s="5"/>
      <c r="J135" s="5"/>
      <c r="K135" s="5"/>
      <c r="L135" s="28">
        <f t="shared" si="2"/>
        <v>7.5925925925925926</v>
      </c>
      <c r="M135" s="5"/>
      <c r="N135" s="5"/>
      <c r="O135" s="5"/>
      <c r="P135" s="5"/>
      <c r="Q135" s="5"/>
      <c r="R135" s="5"/>
      <c r="S135" s="29"/>
      <c r="T135" s="30" t="s">
        <v>329</v>
      </c>
    </row>
    <row r="136" spans="1:20" x14ac:dyDescent="0.2">
      <c r="A136" s="26" t="s">
        <v>200</v>
      </c>
      <c r="B136" s="5" t="s">
        <v>115</v>
      </c>
      <c r="C136" s="6" t="s">
        <v>118</v>
      </c>
      <c r="D136" s="6" t="s">
        <v>119</v>
      </c>
      <c r="E136" s="27">
        <v>13.5</v>
      </c>
      <c r="F136" s="27">
        <v>102.35</v>
      </c>
      <c r="G136" s="32" t="s">
        <v>149</v>
      </c>
      <c r="H136" s="5"/>
      <c r="I136" s="5"/>
      <c r="J136" s="5"/>
      <c r="K136" s="5"/>
      <c r="L136" s="28">
        <f t="shared" si="2"/>
        <v>7.5814814814814815</v>
      </c>
      <c r="M136" s="5"/>
      <c r="N136" s="5"/>
      <c r="O136" s="5"/>
      <c r="P136" s="5"/>
      <c r="Q136" s="5"/>
      <c r="R136" s="5"/>
      <c r="S136" s="29"/>
      <c r="T136" s="30" t="s">
        <v>329</v>
      </c>
    </row>
    <row r="137" spans="1:20" x14ac:dyDescent="0.2">
      <c r="A137" s="26" t="s">
        <v>201</v>
      </c>
      <c r="B137" s="5" t="s">
        <v>115</v>
      </c>
      <c r="C137" s="6" t="s">
        <v>118</v>
      </c>
      <c r="D137" s="6" t="s">
        <v>119</v>
      </c>
      <c r="E137" s="27">
        <v>26.7</v>
      </c>
      <c r="F137" s="27">
        <v>200</v>
      </c>
      <c r="G137" s="32" t="s">
        <v>179</v>
      </c>
      <c r="H137" s="5"/>
      <c r="I137" s="5"/>
      <c r="J137" s="5"/>
      <c r="K137" s="5"/>
      <c r="L137" s="28">
        <f t="shared" si="2"/>
        <v>7.4906367041198507</v>
      </c>
      <c r="M137" s="5"/>
      <c r="N137" s="5"/>
      <c r="O137" s="5"/>
      <c r="P137" s="5"/>
      <c r="Q137" s="5"/>
      <c r="R137" s="5"/>
      <c r="S137" s="29"/>
      <c r="T137" s="30" t="s">
        <v>329</v>
      </c>
    </row>
    <row r="138" spans="1:20" ht="43" x14ac:dyDescent="0.2">
      <c r="A138" s="26" t="s">
        <v>202</v>
      </c>
      <c r="B138" s="5" t="s">
        <v>115</v>
      </c>
      <c r="C138" s="6" t="s">
        <v>118</v>
      </c>
      <c r="D138" s="6" t="s">
        <v>119</v>
      </c>
      <c r="E138" s="27">
        <v>45</v>
      </c>
      <c r="F138" s="27">
        <v>329.1</v>
      </c>
      <c r="G138" s="32" t="s">
        <v>149</v>
      </c>
      <c r="H138" s="32" t="s">
        <v>143</v>
      </c>
      <c r="I138" s="5"/>
      <c r="J138" s="5"/>
      <c r="K138" s="5"/>
      <c r="L138" s="28">
        <f t="shared" si="2"/>
        <v>7.3133333333333335</v>
      </c>
      <c r="M138" s="5"/>
      <c r="N138" s="5"/>
      <c r="O138" s="5"/>
      <c r="P138" s="5"/>
      <c r="Q138" s="5"/>
      <c r="R138" s="5"/>
      <c r="S138" s="29"/>
      <c r="T138" s="30" t="s">
        <v>329</v>
      </c>
    </row>
    <row r="139" spans="1:20" x14ac:dyDescent="0.2">
      <c r="A139" s="26" t="s">
        <v>203</v>
      </c>
      <c r="B139" s="5" t="s">
        <v>115</v>
      </c>
      <c r="C139" s="6" t="s">
        <v>128</v>
      </c>
      <c r="D139" s="6" t="s">
        <v>129</v>
      </c>
      <c r="E139" s="27">
        <v>13.5</v>
      </c>
      <c r="F139" s="27">
        <v>98</v>
      </c>
      <c r="G139" s="32" t="s">
        <v>121</v>
      </c>
      <c r="H139" s="5"/>
      <c r="I139" s="5"/>
      <c r="J139" s="5"/>
      <c r="K139" s="5"/>
      <c r="L139" s="28">
        <f t="shared" si="2"/>
        <v>7.2592592592592595</v>
      </c>
      <c r="M139" s="5"/>
      <c r="N139" s="5"/>
      <c r="O139" s="5"/>
      <c r="P139" s="5"/>
      <c r="Q139" s="5"/>
      <c r="R139" s="5"/>
      <c r="S139" s="29"/>
      <c r="T139" s="30" t="s">
        <v>329</v>
      </c>
    </row>
    <row r="140" spans="1:20" ht="29" x14ac:dyDescent="0.2">
      <c r="A140" s="26" t="s">
        <v>204</v>
      </c>
      <c r="B140" s="5" t="s">
        <v>115</v>
      </c>
      <c r="C140" s="6" t="s">
        <v>118</v>
      </c>
      <c r="D140" s="6" t="s">
        <v>119</v>
      </c>
      <c r="E140" s="27">
        <v>15.1</v>
      </c>
      <c r="F140" s="27">
        <v>107.7</v>
      </c>
      <c r="G140" s="32" t="s">
        <v>149</v>
      </c>
      <c r="H140" s="32" t="s">
        <v>359</v>
      </c>
      <c r="I140" s="32"/>
      <c r="J140" s="32"/>
      <c r="K140" s="32"/>
      <c r="L140" s="28">
        <f t="shared" si="2"/>
        <v>7.1324503311258285</v>
      </c>
      <c r="M140" s="5"/>
      <c r="N140" s="5"/>
      <c r="O140" s="5"/>
      <c r="P140" s="5"/>
      <c r="Q140" s="5"/>
      <c r="R140" s="5"/>
      <c r="S140" s="29"/>
      <c r="T140" s="30" t="s">
        <v>329</v>
      </c>
    </row>
    <row r="141" spans="1:20" x14ac:dyDescent="0.2">
      <c r="A141" s="26" t="s">
        <v>205</v>
      </c>
      <c r="B141" s="5" t="s">
        <v>115</v>
      </c>
      <c r="C141" s="6" t="s">
        <v>116</v>
      </c>
      <c r="D141" s="6" t="s">
        <v>117</v>
      </c>
      <c r="E141" s="27">
        <v>5.5</v>
      </c>
      <c r="F141" s="27">
        <v>39</v>
      </c>
      <c r="G141" s="32" t="s">
        <v>33</v>
      </c>
      <c r="H141" s="5"/>
      <c r="I141" s="5"/>
      <c r="J141" s="5"/>
      <c r="K141" s="5"/>
      <c r="L141" s="28">
        <f t="shared" si="2"/>
        <v>7.0909090909090908</v>
      </c>
      <c r="M141" s="5"/>
      <c r="N141" s="5"/>
      <c r="O141" s="5"/>
      <c r="P141" s="5"/>
      <c r="Q141" s="5"/>
      <c r="R141" s="5"/>
      <c r="S141" s="29"/>
      <c r="T141" s="30" t="s">
        <v>329</v>
      </c>
    </row>
    <row r="142" spans="1:20" x14ac:dyDescent="0.2">
      <c r="A142" s="26" t="s">
        <v>206</v>
      </c>
      <c r="B142" s="5" t="s">
        <v>115</v>
      </c>
      <c r="C142" s="6" t="s">
        <v>161</v>
      </c>
      <c r="D142" s="6" t="s">
        <v>174</v>
      </c>
      <c r="E142" s="27">
        <v>12.5</v>
      </c>
      <c r="F142" s="27">
        <v>87</v>
      </c>
      <c r="G142" s="32" t="s">
        <v>149</v>
      </c>
      <c r="H142" s="5"/>
      <c r="I142" s="5"/>
      <c r="J142" s="5"/>
      <c r="K142" s="5"/>
      <c r="L142" s="28">
        <f t="shared" si="2"/>
        <v>6.96</v>
      </c>
      <c r="M142" s="5"/>
      <c r="N142" s="5"/>
      <c r="O142" s="5"/>
      <c r="P142" s="5"/>
      <c r="Q142" s="5"/>
      <c r="R142" s="5"/>
      <c r="S142" s="29"/>
      <c r="T142" s="30" t="s">
        <v>329</v>
      </c>
    </row>
    <row r="143" spans="1:20" x14ac:dyDescent="0.2">
      <c r="A143" s="26" t="s">
        <v>207</v>
      </c>
      <c r="B143" s="5" t="s">
        <v>115</v>
      </c>
      <c r="C143" s="6" t="s">
        <v>118</v>
      </c>
      <c r="D143" s="6" t="s">
        <v>119</v>
      </c>
      <c r="E143" s="27">
        <v>42.9</v>
      </c>
      <c r="F143" s="27">
        <v>291</v>
      </c>
      <c r="G143" s="32" t="s">
        <v>120</v>
      </c>
      <c r="H143" s="5"/>
      <c r="I143" s="5"/>
      <c r="J143" s="5"/>
      <c r="K143" s="5"/>
      <c r="L143" s="28">
        <f t="shared" si="2"/>
        <v>6.7832167832167833</v>
      </c>
      <c r="M143" s="5"/>
      <c r="N143" s="5"/>
      <c r="O143" s="5"/>
      <c r="P143" s="5"/>
      <c r="Q143" s="5"/>
      <c r="R143" s="5"/>
      <c r="S143" s="29"/>
      <c r="T143" s="30" t="s">
        <v>329</v>
      </c>
    </row>
    <row r="144" spans="1:20" ht="29" x14ac:dyDescent="0.2">
      <c r="A144" s="26" t="s">
        <v>208</v>
      </c>
      <c r="B144" s="5" t="s">
        <v>115</v>
      </c>
      <c r="C144" s="6" t="s">
        <v>118</v>
      </c>
      <c r="D144" s="6" t="s">
        <v>119</v>
      </c>
      <c r="E144" s="27">
        <v>39.200000000000003</v>
      </c>
      <c r="F144" s="27">
        <v>254.05</v>
      </c>
      <c r="G144" s="32" t="s">
        <v>391</v>
      </c>
      <c r="H144" s="32" t="s">
        <v>140</v>
      </c>
      <c r="I144" s="32" t="s">
        <v>212</v>
      </c>
      <c r="J144" s="5"/>
      <c r="K144" s="5"/>
      <c r="L144" s="28">
        <f t="shared" si="2"/>
        <v>6.4808673469387754</v>
      </c>
      <c r="M144" s="5"/>
      <c r="N144" s="5"/>
      <c r="O144" s="5"/>
      <c r="P144" s="5"/>
      <c r="Q144" s="5"/>
      <c r="R144" s="5"/>
      <c r="S144" s="29"/>
      <c r="T144" s="30" t="s">
        <v>329</v>
      </c>
    </row>
    <row r="145" spans="1:20" x14ac:dyDescent="0.2">
      <c r="A145" s="26" t="s">
        <v>209</v>
      </c>
      <c r="B145" s="5" t="s">
        <v>115</v>
      </c>
      <c r="C145" s="6" t="s">
        <v>116</v>
      </c>
      <c r="D145" s="6" t="s">
        <v>117</v>
      </c>
      <c r="E145" s="27">
        <v>7.4</v>
      </c>
      <c r="F145" s="27">
        <v>45.6</v>
      </c>
      <c r="G145" s="32" t="s">
        <v>210</v>
      </c>
      <c r="H145" s="5"/>
      <c r="I145" s="5"/>
      <c r="J145" s="5"/>
      <c r="K145" s="5"/>
      <c r="L145" s="28">
        <f t="shared" si="2"/>
        <v>6.1621621621621623</v>
      </c>
      <c r="M145" s="5"/>
      <c r="N145" s="5"/>
      <c r="O145" s="5"/>
      <c r="P145" s="5"/>
      <c r="Q145" s="5"/>
      <c r="R145" s="5"/>
      <c r="S145" s="29"/>
      <c r="T145" s="30" t="s">
        <v>329</v>
      </c>
    </row>
    <row r="146" spans="1:20" x14ac:dyDescent="0.2">
      <c r="A146" s="26" t="s">
        <v>211</v>
      </c>
      <c r="B146" s="5" t="s">
        <v>115</v>
      </c>
      <c r="C146" s="6" t="s">
        <v>118</v>
      </c>
      <c r="D146" s="6" t="s">
        <v>119</v>
      </c>
      <c r="E146" s="27">
        <v>30.6</v>
      </c>
      <c r="F146" s="27">
        <v>185.2</v>
      </c>
      <c r="G146" s="32" t="s">
        <v>212</v>
      </c>
      <c r="H146" s="5"/>
      <c r="I146" s="5"/>
      <c r="J146" s="5"/>
      <c r="K146" s="5"/>
      <c r="L146" s="28">
        <f t="shared" si="2"/>
        <v>6.0522875816993453</v>
      </c>
      <c r="M146" s="5"/>
      <c r="N146" s="5"/>
      <c r="O146" s="5"/>
      <c r="P146" s="5"/>
      <c r="Q146" s="5"/>
      <c r="R146" s="5"/>
      <c r="S146" s="29"/>
      <c r="T146" s="30" t="s">
        <v>329</v>
      </c>
    </row>
    <row r="147" spans="1:20" x14ac:dyDescent="0.2">
      <c r="A147" s="26" t="s">
        <v>213</v>
      </c>
      <c r="B147" s="5" t="s">
        <v>115</v>
      </c>
      <c r="C147" s="6" t="s">
        <v>118</v>
      </c>
      <c r="D147" s="6" t="s">
        <v>119</v>
      </c>
      <c r="E147" s="27">
        <v>17</v>
      </c>
      <c r="F147" s="27">
        <v>97</v>
      </c>
      <c r="G147" s="32" t="s">
        <v>33</v>
      </c>
      <c r="H147" s="5"/>
      <c r="I147" s="5"/>
      <c r="J147" s="5"/>
      <c r="K147" s="5"/>
      <c r="L147" s="28">
        <f t="shared" si="2"/>
        <v>5.7058823529411766</v>
      </c>
      <c r="M147" s="5"/>
      <c r="N147" s="5"/>
      <c r="O147" s="5"/>
      <c r="P147" s="5"/>
      <c r="Q147" s="5"/>
      <c r="R147" s="5"/>
      <c r="S147" s="29"/>
      <c r="T147" s="30" t="s">
        <v>329</v>
      </c>
    </row>
    <row r="148" spans="1:20" x14ac:dyDescent="0.2">
      <c r="A148" s="26" t="s">
        <v>214</v>
      </c>
      <c r="B148" s="5" t="s">
        <v>115</v>
      </c>
      <c r="C148" s="6" t="s">
        <v>118</v>
      </c>
      <c r="D148" s="6" t="s">
        <v>119</v>
      </c>
      <c r="E148" s="27">
        <v>50</v>
      </c>
      <c r="F148" s="27">
        <v>285</v>
      </c>
      <c r="G148" s="32" t="s">
        <v>196</v>
      </c>
      <c r="H148" s="5"/>
      <c r="I148" s="5"/>
      <c r="J148" s="5"/>
      <c r="K148" s="5"/>
      <c r="L148" s="28">
        <f t="shared" si="2"/>
        <v>5.7</v>
      </c>
      <c r="M148" s="5"/>
      <c r="N148" s="5"/>
      <c r="O148" s="5"/>
      <c r="P148" s="5"/>
      <c r="Q148" s="5"/>
      <c r="R148" s="5"/>
      <c r="S148" s="29"/>
      <c r="T148" s="30" t="s">
        <v>329</v>
      </c>
    </row>
    <row r="149" spans="1:20" ht="29" x14ac:dyDescent="0.2">
      <c r="A149" s="26" t="s">
        <v>215</v>
      </c>
      <c r="B149" s="5" t="s">
        <v>115</v>
      </c>
      <c r="C149" s="6" t="s">
        <v>118</v>
      </c>
      <c r="D149" s="6" t="s">
        <v>119</v>
      </c>
      <c r="E149" s="27">
        <v>16</v>
      </c>
      <c r="F149" s="27">
        <v>81.55</v>
      </c>
      <c r="G149" s="32" t="s">
        <v>140</v>
      </c>
      <c r="H149" s="32" t="s">
        <v>149</v>
      </c>
      <c r="I149" s="5"/>
      <c r="J149" s="5"/>
      <c r="K149" s="5"/>
      <c r="L149" s="28">
        <f t="shared" si="2"/>
        <v>5.0968749999999998</v>
      </c>
      <c r="M149" s="5"/>
      <c r="N149" s="5"/>
      <c r="O149" s="5"/>
      <c r="P149" s="5"/>
      <c r="Q149" s="5"/>
      <c r="R149" s="5"/>
      <c r="S149" s="29"/>
      <c r="T149" s="30" t="s">
        <v>329</v>
      </c>
    </row>
    <row r="150" spans="1:20" x14ac:dyDescent="0.2">
      <c r="A150" s="26" t="s">
        <v>216</v>
      </c>
      <c r="B150" s="5" t="s">
        <v>115</v>
      </c>
      <c r="C150" s="6" t="s">
        <v>161</v>
      </c>
      <c r="D150" s="6" t="s">
        <v>174</v>
      </c>
      <c r="E150" s="27">
        <v>9.1</v>
      </c>
      <c r="F150" s="27">
        <v>45</v>
      </c>
      <c r="G150" s="32" t="s">
        <v>217</v>
      </c>
      <c r="H150" s="5"/>
      <c r="I150" s="5"/>
      <c r="J150" s="5"/>
      <c r="K150" s="5"/>
      <c r="L150" s="28">
        <f t="shared" si="2"/>
        <v>4.9450549450549453</v>
      </c>
      <c r="M150" s="5"/>
      <c r="N150" s="5"/>
      <c r="O150" s="5"/>
      <c r="P150" s="5"/>
      <c r="Q150" s="5"/>
      <c r="R150" s="5"/>
      <c r="S150" s="29"/>
      <c r="T150" s="30" t="s">
        <v>329</v>
      </c>
    </row>
    <row r="151" spans="1:20" x14ac:dyDescent="0.2">
      <c r="A151" s="26" t="s">
        <v>218</v>
      </c>
      <c r="B151" s="5" t="s">
        <v>115</v>
      </c>
      <c r="C151" s="6" t="s">
        <v>116</v>
      </c>
      <c r="D151" s="6" t="s">
        <v>117</v>
      </c>
      <c r="E151" s="27">
        <v>11.1</v>
      </c>
      <c r="F151" s="27">
        <v>54.3</v>
      </c>
      <c r="G151" s="32" t="s">
        <v>210</v>
      </c>
      <c r="H151" s="5"/>
      <c r="I151" s="5"/>
      <c r="J151" s="5"/>
      <c r="K151" s="5"/>
      <c r="L151" s="28">
        <f t="shared" si="2"/>
        <v>4.8918918918918921</v>
      </c>
      <c r="M151" s="5"/>
      <c r="N151" s="5"/>
      <c r="O151" s="5"/>
      <c r="P151" s="5"/>
      <c r="Q151" s="5"/>
      <c r="R151" s="5"/>
      <c r="S151" s="29"/>
      <c r="T151" s="30" t="s">
        <v>329</v>
      </c>
    </row>
    <row r="152" spans="1:20" ht="29" x14ac:dyDescent="0.2">
      <c r="A152" s="26" t="s">
        <v>219</v>
      </c>
      <c r="B152" s="5" t="s">
        <v>115</v>
      </c>
      <c r="C152" s="6" t="s">
        <v>124</v>
      </c>
      <c r="D152" s="6" t="s">
        <v>125</v>
      </c>
      <c r="E152" s="27">
        <v>13</v>
      </c>
      <c r="F152" s="27">
        <v>63.2</v>
      </c>
      <c r="G152" s="32" t="s">
        <v>395</v>
      </c>
      <c r="H152" s="32" t="s">
        <v>373</v>
      </c>
      <c r="I152" s="32" t="s">
        <v>149</v>
      </c>
      <c r="J152" s="5"/>
      <c r="K152" s="5"/>
      <c r="L152" s="28">
        <f t="shared" si="2"/>
        <v>4.861538461538462</v>
      </c>
      <c r="M152" s="5"/>
      <c r="N152" s="5"/>
      <c r="O152" s="5"/>
      <c r="P152" s="5"/>
      <c r="Q152" s="5"/>
      <c r="R152" s="5"/>
      <c r="S152" s="29"/>
      <c r="T152" s="30" t="s">
        <v>329</v>
      </c>
    </row>
    <row r="153" spans="1:20" ht="43" x14ac:dyDescent="0.2">
      <c r="A153" s="26" t="s">
        <v>220</v>
      </c>
      <c r="B153" s="5" t="s">
        <v>115</v>
      </c>
      <c r="C153" s="6" t="s">
        <v>118</v>
      </c>
      <c r="D153" s="6" t="s">
        <v>119</v>
      </c>
      <c r="E153" s="27">
        <v>47.6</v>
      </c>
      <c r="F153" s="27">
        <v>220.5</v>
      </c>
      <c r="G153" s="32" t="s">
        <v>212</v>
      </c>
      <c r="H153" s="32" t="s">
        <v>143</v>
      </c>
      <c r="I153" s="5"/>
      <c r="J153" s="5"/>
      <c r="K153" s="5"/>
      <c r="L153" s="28">
        <f t="shared" si="2"/>
        <v>4.6323529411764701</v>
      </c>
      <c r="M153" s="5"/>
      <c r="N153" s="5"/>
      <c r="O153" s="5"/>
      <c r="P153" s="5"/>
      <c r="Q153" s="5"/>
      <c r="R153" s="5"/>
      <c r="S153" s="29"/>
      <c r="T153" s="30" t="s">
        <v>329</v>
      </c>
    </row>
    <row r="154" spans="1:20" ht="29" x14ac:dyDescent="0.2">
      <c r="A154" s="26" t="s">
        <v>221</v>
      </c>
      <c r="B154" s="5" t="s">
        <v>115</v>
      </c>
      <c r="C154" s="6" t="s">
        <v>118</v>
      </c>
      <c r="D154" s="6" t="s">
        <v>119</v>
      </c>
      <c r="E154" s="27">
        <v>30.5</v>
      </c>
      <c r="F154" s="27">
        <v>139</v>
      </c>
      <c r="G154" s="32" t="s">
        <v>149</v>
      </c>
      <c r="H154" s="32" t="s">
        <v>130</v>
      </c>
      <c r="I154" s="32"/>
      <c r="J154" s="32"/>
      <c r="K154" s="32"/>
      <c r="L154" s="28">
        <f t="shared" si="2"/>
        <v>4.557377049180328</v>
      </c>
      <c r="M154" s="5"/>
      <c r="N154" s="5"/>
      <c r="O154" s="5"/>
      <c r="P154" s="5"/>
      <c r="Q154" s="5"/>
      <c r="R154" s="5"/>
      <c r="S154" s="29"/>
      <c r="T154" s="30" t="s">
        <v>329</v>
      </c>
    </row>
    <row r="155" spans="1:20" ht="29" x14ac:dyDescent="0.2">
      <c r="A155" s="26" t="s">
        <v>222</v>
      </c>
      <c r="B155" s="5" t="s">
        <v>115</v>
      </c>
      <c r="C155" s="6" t="s">
        <v>124</v>
      </c>
      <c r="D155" s="6" t="s">
        <v>125</v>
      </c>
      <c r="E155" s="27">
        <v>22.5</v>
      </c>
      <c r="F155" s="27">
        <v>100.9</v>
      </c>
      <c r="G155" s="32" t="s">
        <v>395</v>
      </c>
      <c r="H155" s="32" t="s">
        <v>140</v>
      </c>
      <c r="I155" s="32" t="s">
        <v>373</v>
      </c>
      <c r="J155" s="5"/>
      <c r="K155" s="5"/>
      <c r="L155" s="28">
        <f t="shared" si="2"/>
        <v>4.4844444444444447</v>
      </c>
      <c r="M155" s="5"/>
      <c r="N155" s="5"/>
      <c r="O155" s="5"/>
      <c r="P155" s="5"/>
      <c r="Q155" s="5"/>
      <c r="R155" s="5"/>
      <c r="S155" s="29"/>
      <c r="T155" s="30" t="s">
        <v>329</v>
      </c>
    </row>
    <row r="156" spans="1:20" x14ac:dyDescent="0.2">
      <c r="A156" s="26" t="s">
        <v>223</v>
      </c>
      <c r="B156" s="5" t="s">
        <v>115</v>
      </c>
      <c r="C156" s="6" t="s">
        <v>116</v>
      </c>
      <c r="D156" s="6" t="s">
        <v>183</v>
      </c>
      <c r="E156" s="27">
        <v>27</v>
      </c>
      <c r="F156" s="27">
        <v>120</v>
      </c>
      <c r="G156" s="32" t="s">
        <v>224</v>
      </c>
      <c r="H156" s="5"/>
      <c r="I156" s="5"/>
      <c r="J156" s="5"/>
      <c r="K156" s="5"/>
      <c r="L156" s="28">
        <f t="shared" si="2"/>
        <v>4.4444444444444446</v>
      </c>
      <c r="M156" s="5"/>
      <c r="N156" s="5"/>
      <c r="O156" s="5"/>
      <c r="P156" s="5"/>
      <c r="Q156" s="5"/>
      <c r="R156" s="5"/>
      <c r="S156" s="29"/>
      <c r="T156" s="30" t="s">
        <v>329</v>
      </c>
    </row>
    <row r="157" spans="1:20" x14ac:dyDescent="0.2">
      <c r="A157" s="26" t="s">
        <v>225</v>
      </c>
      <c r="B157" s="5" t="s">
        <v>115</v>
      </c>
      <c r="C157" s="6" t="s">
        <v>118</v>
      </c>
      <c r="D157" s="6" t="s">
        <v>119</v>
      </c>
      <c r="E157" s="27">
        <v>34.5</v>
      </c>
      <c r="F157" s="27">
        <v>148.35</v>
      </c>
      <c r="G157" s="32" t="s">
        <v>226</v>
      </c>
      <c r="H157" s="5"/>
      <c r="I157" s="5"/>
      <c r="J157" s="5"/>
      <c r="K157" s="5"/>
      <c r="L157" s="28">
        <f t="shared" si="2"/>
        <v>4.3</v>
      </c>
      <c r="M157" s="5"/>
      <c r="N157" s="5"/>
      <c r="O157" s="5"/>
      <c r="P157" s="5"/>
      <c r="Q157" s="5"/>
      <c r="R157" s="5"/>
      <c r="S157" s="29"/>
      <c r="T157" s="30" t="s">
        <v>329</v>
      </c>
    </row>
    <row r="158" spans="1:20" x14ac:dyDescent="0.2">
      <c r="A158" s="26" t="s">
        <v>227</v>
      </c>
      <c r="B158" s="5" t="s">
        <v>115</v>
      </c>
      <c r="C158" s="6" t="s">
        <v>161</v>
      </c>
      <c r="D158" s="6" t="s">
        <v>174</v>
      </c>
      <c r="E158" s="27">
        <v>7.2</v>
      </c>
      <c r="F158" s="27">
        <v>30</v>
      </c>
      <c r="G158" s="32" t="s">
        <v>217</v>
      </c>
      <c r="H158" s="5"/>
      <c r="I158" s="5"/>
      <c r="J158" s="5"/>
      <c r="K158" s="5"/>
      <c r="L158" s="28">
        <f t="shared" si="2"/>
        <v>4.166666666666667</v>
      </c>
      <c r="M158" s="5"/>
      <c r="N158" s="5"/>
      <c r="O158" s="5"/>
      <c r="P158" s="5"/>
      <c r="Q158" s="5"/>
      <c r="R158" s="5"/>
      <c r="S158" s="29"/>
      <c r="T158" s="30" t="s">
        <v>329</v>
      </c>
    </row>
    <row r="159" spans="1:20" ht="29" x14ac:dyDescent="0.2">
      <c r="A159" s="26" t="s">
        <v>228</v>
      </c>
      <c r="B159" s="5" t="s">
        <v>115</v>
      </c>
      <c r="C159" s="6" t="s">
        <v>138</v>
      </c>
      <c r="D159" s="6" t="s">
        <v>229</v>
      </c>
      <c r="E159" s="27">
        <v>22.5</v>
      </c>
      <c r="F159" s="27">
        <v>90</v>
      </c>
      <c r="G159" s="32" t="s">
        <v>149</v>
      </c>
      <c r="H159" s="32" t="s">
        <v>130</v>
      </c>
      <c r="I159" s="5"/>
      <c r="J159" s="5"/>
      <c r="K159" s="5"/>
      <c r="L159" s="28">
        <f t="shared" si="2"/>
        <v>4</v>
      </c>
      <c r="M159" s="5"/>
      <c r="N159" s="5"/>
      <c r="O159" s="5"/>
      <c r="P159" s="5"/>
      <c r="Q159" s="5"/>
      <c r="R159" s="5"/>
      <c r="S159" s="29"/>
      <c r="T159" s="30" t="s">
        <v>329</v>
      </c>
    </row>
    <row r="160" spans="1:20" x14ac:dyDescent="0.2">
      <c r="A160" s="26" t="s">
        <v>230</v>
      </c>
      <c r="B160" s="5" t="s">
        <v>115</v>
      </c>
      <c r="C160" s="6" t="s">
        <v>118</v>
      </c>
      <c r="D160" s="6" t="s">
        <v>119</v>
      </c>
      <c r="E160" s="27">
        <v>27.2</v>
      </c>
      <c r="F160" s="27">
        <v>105.6</v>
      </c>
      <c r="G160" s="32" t="s">
        <v>143</v>
      </c>
      <c r="H160" s="32" t="s">
        <v>368</v>
      </c>
      <c r="I160" s="5"/>
      <c r="J160" s="5"/>
      <c r="K160" s="5"/>
      <c r="L160" s="28">
        <f t="shared" si="2"/>
        <v>3.8823529411764706</v>
      </c>
      <c r="M160" s="5"/>
      <c r="N160" s="5"/>
      <c r="O160" s="5"/>
      <c r="P160" s="5"/>
      <c r="Q160" s="5"/>
      <c r="R160" s="5"/>
      <c r="S160" s="29"/>
      <c r="T160" s="30" t="s">
        <v>329</v>
      </c>
    </row>
    <row r="161" spans="1:20" ht="29" x14ac:dyDescent="0.2">
      <c r="A161" s="26" t="s">
        <v>231</v>
      </c>
      <c r="B161" s="5" t="s">
        <v>115</v>
      </c>
      <c r="C161" s="6" t="s">
        <v>128</v>
      </c>
      <c r="D161" s="6" t="s">
        <v>129</v>
      </c>
      <c r="E161" s="27">
        <v>30</v>
      </c>
      <c r="F161" s="27">
        <v>111.25</v>
      </c>
      <c r="G161" s="32" t="s">
        <v>396</v>
      </c>
      <c r="H161" s="32" t="s">
        <v>379</v>
      </c>
      <c r="I161" s="32" t="s">
        <v>140</v>
      </c>
      <c r="J161" s="5"/>
      <c r="K161" s="5"/>
      <c r="L161" s="28">
        <f t="shared" si="2"/>
        <v>3.7083333333333335</v>
      </c>
      <c r="M161" s="5"/>
      <c r="N161" s="5"/>
      <c r="O161" s="5"/>
      <c r="P161" s="5"/>
      <c r="Q161" s="5"/>
      <c r="R161" s="5"/>
      <c r="S161" s="29"/>
      <c r="T161" s="30" t="s">
        <v>329</v>
      </c>
    </row>
    <row r="162" spans="1:20" x14ac:dyDescent="0.2">
      <c r="A162" s="26" t="s">
        <v>232</v>
      </c>
      <c r="B162" s="5" t="s">
        <v>115</v>
      </c>
      <c r="C162" s="6" t="s">
        <v>118</v>
      </c>
      <c r="D162" s="6" t="s">
        <v>119</v>
      </c>
      <c r="E162" s="27">
        <v>45</v>
      </c>
      <c r="F162" s="27">
        <v>160</v>
      </c>
      <c r="G162" s="32" t="s">
        <v>45</v>
      </c>
      <c r="H162" s="5"/>
      <c r="I162" s="5"/>
      <c r="J162" s="5"/>
      <c r="K162" s="5"/>
      <c r="L162" s="28">
        <f t="shared" si="2"/>
        <v>3.5555555555555554</v>
      </c>
      <c r="M162" s="5"/>
      <c r="N162" s="5"/>
      <c r="O162" s="5"/>
      <c r="P162" s="5"/>
      <c r="Q162" s="5"/>
      <c r="R162" s="5"/>
      <c r="S162" s="29"/>
      <c r="T162" s="30" t="s">
        <v>329</v>
      </c>
    </row>
    <row r="163" spans="1:20" x14ac:dyDescent="0.2">
      <c r="A163" s="26" t="s">
        <v>233</v>
      </c>
      <c r="B163" s="5" t="s">
        <v>115</v>
      </c>
      <c r="C163" s="6" t="s">
        <v>124</v>
      </c>
      <c r="D163" s="6" t="s">
        <v>125</v>
      </c>
      <c r="E163" s="27">
        <v>27.5</v>
      </c>
      <c r="F163" s="27">
        <v>96</v>
      </c>
      <c r="G163" s="32" t="s">
        <v>149</v>
      </c>
      <c r="H163" s="5"/>
      <c r="I163" s="5"/>
      <c r="J163" s="5"/>
      <c r="K163" s="5"/>
      <c r="L163" s="28">
        <f t="shared" si="2"/>
        <v>3.4909090909090907</v>
      </c>
      <c r="M163" s="5"/>
      <c r="N163" s="5"/>
      <c r="O163" s="5"/>
      <c r="P163" s="5"/>
      <c r="Q163" s="5"/>
      <c r="R163" s="5"/>
      <c r="S163" s="29"/>
      <c r="T163" s="30" t="s">
        <v>329</v>
      </c>
    </row>
    <row r="164" spans="1:20" ht="29" x14ac:dyDescent="0.2">
      <c r="A164" s="26" t="s">
        <v>234</v>
      </c>
      <c r="B164" s="5" t="s">
        <v>115</v>
      </c>
      <c r="C164" s="6" t="s">
        <v>118</v>
      </c>
      <c r="D164" s="6" t="s">
        <v>119</v>
      </c>
      <c r="E164" s="27">
        <v>25.3</v>
      </c>
      <c r="F164" s="27">
        <v>87.6</v>
      </c>
      <c r="G164" s="32" t="s">
        <v>212</v>
      </c>
      <c r="H164" s="32" t="s">
        <v>149</v>
      </c>
      <c r="I164" s="32" t="s">
        <v>185</v>
      </c>
      <c r="J164" s="5"/>
      <c r="K164" s="5"/>
      <c r="L164" s="28">
        <f t="shared" si="2"/>
        <v>3.462450592885375</v>
      </c>
      <c r="M164" s="5"/>
      <c r="N164" s="5"/>
      <c r="O164" s="5"/>
      <c r="P164" s="5"/>
      <c r="Q164" s="5"/>
      <c r="R164" s="5"/>
      <c r="S164" s="29"/>
      <c r="T164" s="30" t="s">
        <v>329</v>
      </c>
    </row>
    <row r="165" spans="1:20" x14ac:dyDescent="0.2">
      <c r="A165" s="26" t="s">
        <v>235</v>
      </c>
      <c r="B165" s="5" t="s">
        <v>115</v>
      </c>
      <c r="C165" s="6" t="s">
        <v>118</v>
      </c>
      <c r="D165" s="6" t="s">
        <v>119</v>
      </c>
      <c r="E165" s="27">
        <v>132</v>
      </c>
      <c r="F165" s="27">
        <v>450</v>
      </c>
      <c r="G165" s="32" t="s">
        <v>45</v>
      </c>
      <c r="H165" s="5"/>
      <c r="I165" s="5"/>
      <c r="J165" s="5"/>
      <c r="K165" s="5"/>
      <c r="L165" s="28">
        <f t="shared" si="2"/>
        <v>3.4090909090909092</v>
      </c>
      <c r="M165" s="5"/>
      <c r="N165" s="5"/>
      <c r="O165" s="5"/>
      <c r="P165" s="5"/>
      <c r="Q165" s="5"/>
      <c r="R165" s="5"/>
      <c r="S165" s="29"/>
      <c r="T165" s="30" t="s">
        <v>329</v>
      </c>
    </row>
    <row r="166" spans="1:20" x14ac:dyDescent="0.2">
      <c r="A166" s="26" t="s">
        <v>236</v>
      </c>
      <c r="B166" s="5" t="s">
        <v>115</v>
      </c>
      <c r="C166" s="6" t="s">
        <v>118</v>
      </c>
      <c r="D166" s="6" t="s">
        <v>119</v>
      </c>
      <c r="E166" s="27">
        <v>61</v>
      </c>
      <c r="F166" s="27">
        <v>187.5</v>
      </c>
      <c r="G166" s="32" t="s">
        <v>196</v>
      </c>
      <c r="H166" s="5"/>
      <c r="I166" s="5"/>
      <c r="J166" s="5"/>
      <c r="K166" s="5"/>
      <c r="L166" s="28">
        <f t="shared" si="2"/>
        <v>3.0737704918032787</v>
      </c>
      <c r="M166" s="5"/>
      <c r="N166" s="5"/>
      <c r="O166" s="5"/>
      <c r="P166" s="5"/>
      <c r="Q166" s="5"/>
      <c r="R166" s="5"/>
      <c r="S166" s="29"/>
      <c r="T166" s="30" t="s">
        <v>329</v>
      </c>
    </row>
    <row r="167" spans="1:20" ht="29" x14ac:dyDescent="0.2">
      <c r="A167" s="26" t="s">
        <v>237</v>
      </c>
      <c r="B167" s="5" t="s">
        <v>115</v>
      </c>
      <c r="C167" s="6" t="s">
        <v>116</v>
      </c>
      <c r="D167" s="6" t="s">
        <v>238</v>
      </c>
      <c r="E167" s="27">
        <v>45</v>
      </c>
      <c r="F167" s="27">
        <v>136.75</v>
      </c>
      <c r="G167" s="32" t="s">
        <v>224</v>
      </c>
      <c r="H167" s="32" t="s">
        <v>394</v>
      </c>
      <c r="I167" s="5"/>
      <c r="J167" s="5"/>
      <c r="K167" s="5"/>
      <c r="L167" s="28">
        <f t="shared" si="2"/>
        <v>3.0388888888888888</v>
      </c>
      <c r="M167" s="5"/>
      <c r="N167" s="5"/>
      <c r="O167" s="5"/>
      <c r="P167" s="5"/>
      <c r="Q167" s="5"/>
      <c r="R167" s="5"/>
      <c r="S167" s="29"/>
      <c r="T167" s="30" t="s">
        <v>329</v>
      </c>
    </row>
    <row r="168" spans="1:20" x14ac:dyDescent="0.2">
      <c r="A168" s="26" t="s">
        <v>239</v>
      </c>
      <c r="B168" s="5" t="s">
        <v>115</v>
      </c>
      <c r="C168" s="6" t="s">
        <v>118</v>
      </c>
      <c r="D168" s="6" t="s">
        <v>119</v>
      </c>
      <c r="E168" s="27">
        <v>77.5</v>
      </c>
      <c r="F168" s="27">
        <v>229</v>
      </c>
      <c r="G168" s="32" t="s">
        <v>196</v>
      </c>
      <c r="H168" s="5"/>
      <c r="I168" s="5"/>
      <c r="J168" s="5"/>
      <c r="K168" s="5"/>
      <c r="L168" s="28">
        <f t="shared" si="2"/>
        <v>2.9548387096774196</v>
      </c>
      <c r="M168" s="5"/>
      <c r="N168" s="5"/>
      <c r="O168" s="5"/>
      <c r="P168" s="5"/>
      <c r="Q168" s="5"/>
      <c r="R168" s="5"/>
      <c r="S168" s="29"/>
      <c r="T168" s="30" t="s">
        <v>329</v>
      </c>
    </row>
    <row r="169" spans="1:20" x14ac:dyDescent="0.2">
      <c r="A169" s="26" t="s">
        <v>240</v>
      </c>
      <c r="B169" s="5" t="s">
        <v>115</v>
      </c>
      <c r="C169" s="6" t="s">
        <v>116</v>
      </c>
      <c r="D169" s="6" t="s">
        <v>117</v>
      </c>
      <c r="E169" s="27">
        <v>12.5</v>
      </c>
      <c r="F169" s="27">
        <v>36.4</v>
      </c>
      <c r="G169" s="32" t="s">
        <v>210</v>
      </c>
      <c r="H169" s="5"/>
      <c r="I169" s="5"/>
      <c r="J169" s="5"/>
      <c r="K169" s="5"/>
      <c r="L169" s="28">
        <f t="shared" si="2"/>
        <v>2.9119999999999999</v>
      </c>
      <c r="M169" s="5"/>
      <c r="N169" s="5"/>
      <c r="O169" s="5"/>
      <c r="P169" s="5"/>
      <c r="Q169" s="5"/>
      <c r="R169" s="5"/>
      <c r="S169" s="29"/>
      <c r="T169" s="30" t="s">
        <v>329</v>
      </c>
    </row>
    <row r="170" spans="1:20" x14ac:dyDescent="0.2">
      <c r="A170" s="26" t="s">
        <v>241</v>
      </c>
      <c r="B170" s="5" t="s">
        <v>115</v>
      </c>
      <c r="C170" s="6" t="s">
        <v>118</v>
      </c>
      <c r="D170" s="6" t="s">
        <v>119</v>
      </c>
      <c r="E170" s="27">
        <v>92.5</v>
      </c>
      <c r="F170" s="27">
        <v>266.5</v>
      </c>
      <c r="G170" s="32" t="s">
        <v>196</v>
      </c>
      <c r="H170" s="5"/>
      <c r="I170" s="5"/>
      <c r="J170" s="5"/>
      <c r="K170" s="5"/>
      <c r="L170" s="28">
        <f t="shared" si="2"/>
        <v>2.881081081081081</v>
      </c>
      <c r="M170" s="5"/>
      <c r="N170" s="5"/>
      <c r="O170" s="5"/>
      <c r="P170" s="5"/>
      <c r="Q170" s="5"/>
      <c r="R170" s="5"/>
      <c r="S170" s="29"/>
      <c r="T170" s="30" t="s">
        <v>329</v>
      </c>
    </row>
    <row r="171" spans="1:20" x14ac:dyDescent="0.2">
      <c r="A171" s="26" t="s">
        <v>242</v>
      </c>
      <c r="B171" s="5" t="s">
        <v>115</v>
      </c>
      <c r="C171" s="6" t="s">
        <v>116</v>
      </c>
      <c r="D171" s="6" t="s">
        <v>243</v>
      </c>
      <c r="E171" s="27">
        <v>50</v>
      </c>
      <c r="F171" s="27">
        <v>135</v>
      </c>
      <c r="G171" s="32" t="s">
        <v>130</v>
      </c>
      <c r="H171" s="5"/>
      <c r="I171" s="5"/>
      <c r="J171" s="5"/>
      <c r="K171" s="5"/>
      <c r="L171" s="28">
        <f t="shared" si="2"/>
        <v>2.7</v>
      </c>
      <c r="M171" s="5"/>
      <c r="N171" s="5"/>
      <c r="O171" s="5"/>
      <c r="P171" s="5"/>
      <c r="Q171" s="5"/>
      <c r="R171" s="5"/>
      <c r="S171" s="29"/>
      <c r="T171" s="30" t="s">
        <v>329</v>
      </c>
    </row>
    <row r="172" spans="1:20" x14ac:dyDescent="0.2">
      <c r="A172" s="26" t="s">
        <v>244</v>
      </c>
      <c r="B172" s="5" t="s">
        <v>115</v>
      </c>
      <c r="C172" s="6" t="s">
        <v>118</v>
      </c>
      <c r="D172" s="6" t="s">
        <v>119</v>
      </c>
      <c r="E172" s="27">
        <v>41.1</v>
      </c>
      <c r="F172" s="27">
        <v>110.5</v>
      </c>
      <c r="G172" s="32" t="s">
        <v>179</v>
      </c>
      <c r="H172" s="5"/>
      <c r="I172" s="5"/>
      <c r="J172" s="5"/>
      <c r="K172" s="5"/>
      <c r="L172" s="28">
        <f t="shared" si="2"/>
        <v>2.6885644768856447</v>
      </c>
      <c r="M172" s="5"/>
      <c r="N172" s="5"/>
      <c r="O172" s="5"/>
      <c r="P172" s="5"/>
      <c r="Q172" s="5"/>
      <c r="R172" s="5"/>
      <c r="S172" s="29"/>
      <c r="T172" s="30" t="s">
        <v>329</v>
      </c>
    </row>
    <row r="173" spans="1:20" ht="43" x14ac:dyDescent="0.2">
      <c r="A173" s="26" t="s">
        <v>245</v>
      </c>
      <c r="B173" s="5" t="s">
        <v>115</v>
      </c>
      <c r="C173" s="6" t="s">
        <v>118</v>
      </c>
      <c r="D173" s="6" t="s">
        <v>119</v>
      </c>
      <c r="E173" s="27">
        <v>47.5</v>
      </c>
      <c r="F173" s="27">
        <v>120</v>
      </c>
      <c r="G173" s="32" t="s">
        <v>149</v>
      </c>
      <c r="H173" s="32" t="s">
        <v>143</v>
      </c>
      <c r="I173" s="32" t="s">
        <v>368</v>
      </c>
      <c r="J173" s="32"/>
      <c r="K173" s="32"/>
      <c r="L173" s="28">
        <f t="shared" si="2"/>
        <v>2.5263157894736841</v>
      </c>
      <c r="M173" s="5"/>
      <c r="N173" s="5"/>
      <c r="O173" s="5"/>
      <c r="P173" s="5"/>
      <c r="Q173" s="5"/>
      <c r="R173" s="5"/>
      <c r="S173" s="29"/>
      <c r="T173" s="30" t="s">
        <v>329</v>
      </c>
    </row>
    <row r="174" spans="1:20" x14ac:dyDescent="0.2">
      <c r="A174" s="26" t="s">
        <v>246</v>
      </c>
      <c r="B174" s="5" t="s">
        <v>115</v>
      </c>
      <c r="C174" s="6" t="s">
        <v>138</v>
      </c>
      <c r="D174" s="6" t="s">
        <v>139</v>
      </c>
      <c r="E174" s="27">
        <v>10</v>
      </c>
      <c r="F174" s="27">
        <v>25</v>
      </c>
      <c r="G174" s="32" t="s">
        <v>33</v>
      </c>
      <c r="H174" s="5"/>
      <c r="I174" s="5"/>
      <c r="J174" s="5"/>
      <c r="K174" s="5"/>
      <c r="L174" s="28">
        <f t="shared" si="2"/>
        <v>2.5</v>
      </c>
      <c r="M174" s="5"/>
      <c r="N174" s="5"/>
      <c r="O174" s="5"/>
      <c r="P174" s="5"/>
      <c r="Q174" s="5"/>
      <c r="R174" s="5"/>
      <c r="S174" s="29"/>
      <c r="T174" s="30" t="s">
        <v>329</v>
      </c>
    </row>
    <row r="175" spans="1:20" ht="29" x14ac:dyDescent="0.2">
      <c r="A175" s="26" t="s">
        <v>247</v>
      </c>
      <c r="B175" s="5" t="s">
        <v>115</v>
      </c>
      <c r="C175" s="6" t="s">
        <v>116</v>
      </c>
      <c r="D175" s="6" t="s">
        <v>238</v>
      </c>
      <c r="E175" s="27">
        <v>47.5</v>
      </c>
      <c r="F175" s="27">
        <v>111.25</v>
      </c>
      <c r="G175" s="32" t="s">
        <v>396</v>
      </c>
      <c r="H175" s="32" t="s">
        <v>379</v>
      </c>
      <c r="I175" s="32" t="s">
        <v>140</v>
      </c>
      <c r="J175" s="32"/>
      <c r="K175" s="32"/>
      <c r="L175" s="28">
        <f t="shared" si="2"/>
        <v>2.3421052631578947</v>
      </c>
      <c r="M175" s="5"/>
      <c r="N175" s="5"/>
      <c r="O175" s="5"/>
      <c r="P175" s="5"/>
      <c r="Q175" s="5"/>
      <c r="R175" s="5"/>
      <c r="S175" s="29"/>
      <c r="T175" s="30" t="s">
        <v>329</v>
      </c>
    </row>
    <row r="176" spans="1:20" ht="29" x14ac:dyDescent="0.2">
      <c r="A176" s="26" t="s">
        <v>248</v>
      </c>
      <c r="B176" s="5" t="s">
        <v>115</v>
      </c>
      <c r="C176" s="6" t="s">
        <v>249</v>
      </c>
      <c r="D176" s="6" t="s">
        <v>250</v>
      </c>
      <c r="E176" s="27">
        <v>11.25</v>
      </c>
      <c r="F176" s="27">
        <v>26</v>
      </c>
      <c r="G176" s="32" t="s">
        <v>399</v>
      </c>
      <c r="H176" s="32" t="s">
        <v>398</v>
      </c>
      <c r="I176" s="32" t="s">
        <v>397</v>
      </c>
      <c r="J176" s="5"/>
      <c r="K176" s="5"/>
      <c r="L176" s="28">
        <f t="shared" si="2"/>
        <v>2.3111111111111109</v>
      </c>
      <c r="M176" s="5"/>
      <c r="N176" s="5"/>
      <c r="O176" s="5"/>
      <c r="P176" s="5"/>
      <c r="Q176" s="5"/>
      <c r="R176" s="5"/>
      <c r="S176" s="29"/>
      <c r="T176" s="30" t="s">
        <v>329</v>
      </c>
    </row>
    <row r="177" spans="1:20" x14ac:dyDescent="0.2">
      <c r="A177" s="26" t="s">
        <v>251</v>
      </c>
      <c r="B177" s="5" t="s">
        <v>115</v>
      </c>
      <c r="C177" s="6" t="s">
        <v>118</v>
      </c>
      <c r="D177" s="6" t="s">
        <v>119</v>
      </c>
      <c r="E177" s="27">
        <v>25</v>
      </c>
      <c r="F177" s="27">
        <v>53</v>
      </c>
      <c r="G177" s="32" t="s">
        <v>143</v>
      </c>
      <c r="H177" s="5"/>
      <c r="I177" s="5"/>
      <c r="J177" s="5"/>
      <c r="K177" s="5"/>
      <c r="L177" s="28">
        <f t="shared" si="2"/>
        <v>2.12</v>
      </c>
      <c r="M177" s="5"/>
      <c r="N177" s="5"/>
      <c r="O177" s="5"/>
      <c r="P177" s="5"/>
      <c r="Q177" s="5"/>
      <c r="R177" s="5"/>
      <c r="S177" s="29"/>
      <c r="T177" s="30" t="s">
        <v>329</v>
      </c>
    </row>
    <row r="178" spans="1:20" x14ac:dyDescent="0.2">
      <c r="A178" s="26" t="s">
        <v>252</v>
      </c>
      <c r="B178" s="5" t="s">
        <v>115</v>
      </c>
      <c r="C178" s="6" t="s">
        <v>118</v>
      </c>
      <c r="D178" s="6" t="s">
        <v>119</v>
      </c>
      <c r="E178" s="27">
        <v>35</v>
      </c>
      <c r="F178" s="27">
        <v>73.900000000000006</v>
      </c>
      <c r="G178" s="32" t="s">
        <v>140</v>
      </c>
      <c r="H178" s="5"/>
      <c r="I178" s="5"/>
      <c r="J178" s="5"/>
      <c r="K178" s="5"/>
      <c r="L178" s="28">
        <f t="shared" si="2"/>
        <v>2.1114285714285717</v>
      </c>
      <c r="M178" s="5"/>
      <c r="N178" s="5"/>
      <c r="O178" s="5"/>
      <c r="P178" s="5"/>
      <c r="Q178" s="5"/>
      <c r="R178" s="5"/>
      <c r="S178" s="29"/>
      <c r="T178" s="30" t="s">
        <v>329</v>
      </c>
    </row>
    <row r="179" spans="1:20" ht="29" x14ac:dyDescent="0.2">
      <c r="A179" s="26" t="s">
        <v>253</v>
      </c>
      <c r="B179" s="5" t="s">
        <v>115</v>
      </c>
      <c r="C179" s="6" t="s">
        <v>116</v>
      </c>
      <c r="D179" s="6" t="s">
        <v>238</v>
      </c>
      <c r="E179" s="27">
        <v>25</v>
      </c>
      <c r="F179" s="27">
        <v>50</v>
      </c>
      <c r="G179" s="32" t="s">
        <v>373</v>
      </c>
      <c r="H179" s="32" t="s">
        <v>140</v>
      </c>
      <c r="I179" s="5"/>
      <c r="J179" s="5"/>
      <c r="K179" s="5"/>
      <c r="L179" s="28">
        <f t="shared" si="2"/>
        <v>2</v>
      </c>
      <c r="M179" s="5"/>
      <c r="N179" s="5"/>
      <c r="O179" s="5"/>
      <c r="P179" s="5"/>
      <c r="Q179" s="5"/>
      <c r="R179" s="5"/>
      <c r="S179" s="29"/>
      <c r="T179" s="30" t="s">
        <v>329</v>
      </c>
    </row>
    <row r="180" spans="1:20" x14ac:dyDescent="0.2">
      <c r="A180" s="26" t="s">
        <v>254</v>
      </c>
      <c r="B180" s="5" t="s">
        <v>115</v>
      </c>
      <c r="C180" s="6" t="s">
        <v>118</v>
      </c>
      <c r="D180" s="6" t="s">
        <v>119</v>
      </c>
      <c r="E180" s="27">
        <v>122.5</v>
      </c>
      <c r="F180" s="27">
        <v>194</v>
      </c>
      <c r="G180" s="32" t="s">
        <v>196</v>
      </c>
      <c r="H180" s="5"/>
      <c r="I180" s="5"/>
      <c r="J180" s="5"/>
      <c r="K180" s="5"/>
      <c r="L180" s="28">
        <f t="shared" si="2"/>
        <v>1.583673469387755</v>
      </c>
      <c r="M180" s="5"/>
      <c r="N180" s="5"/>
      <c r="O180" s="5"/>
      <c r="P180" s="5"/>
      <c r="Q180" s="5"/>
      <c r="R180" s="5"/>
      <c r="S180" s="29"/>
      <c r="T180" s="30" t="s">
        <v>329</v>
      </c>
    </row>
    <row r="181" spans="1:20" x14ac:dyDescent="0.2">
      <c r="A181" s="26" t="s">
        <v>255</v>
      </c>
      <c r="B181" s="5" t="s">
        <v>115</v>
      </c>
      <c r="C181" s="6" t="s">
        <v>118</v>
      </c>
      <c r="D181" s="6" t="s">
        <v>119</v>
      </c>
      <c r="E181" s="27">
        <v>57.5</v>
      </c>
      <c r="F181" s="27">
        <v>86.1</v>
      </c>
      <c r="G181" s="32" t="s">
        <v>185</v>
      </c>
      <c r="H181" s="5"/>
      <c r="I181" s="5"/>
      <c r="J181" s="5"/>
      <c r="K181" s="5"/>
      <c r="L181" s="28">
        <f t="shared" si="2"/>
        <v>1.497391304347826</v>
      </c>
      <c r="M181" s="5"/>
      <c r="N181" s="5"/>
      <c r="O181" s="5"/>
      <c r="P181" s="5"/>
      <c r="Q181" s="5"/>
      <c r="R181" s="5"/>
      <c r="S181" s="29"/>
      <c r="T181" s="30" t="s">
        <v>329</v>
      </c>
    </row>
    <row r="182" spans="1:20" x14ac:dyDescent="0.2">
      <c r="A182" s="26" t="s">
        <v>256</v>
      </c>
      <c r="B182" s="5" t="s">
        <v>115</v>
      </c>
      <c r="C182" s="6" t="s">
        <v>118</v>
      </c>
      <c r="D182" s="6" t="s">
        <v>119</v>
      </c>
      <c r="E182" s="27">
        <v>122.3</v>
      </c>
      <c r="F182" s="27">
        <v>177.75</v>
      </c>
      <c r="G182" s="32" t="s">
        <v>143</v>
      </c>
      <c r="H182" s="32" t="s">
        <v>368</v>
      </c>
      <c r="I182" s="5"/>
      <c r="J182" s="5"/>
      <c r="K182" s="5"/>
      <c r="L182" s="28">
        <f t="shared" si="2"/>
        <v>1.4533932951757973</v>
      </c>
      <c r="M182" s="5"/>
      <c r="N182" s="5"/>
      <c r="O182" s="5"/>
      <c r="P182" s="5"/>
      <c r="Q182" s="5"/>
      <c r="R182" s="5"/>
      <c r="S182" s="29"/>
      <c r="T182" s="30" t="s">
        <v>329</v>
      </c>
    </row>
    <row r="183" spans="1:20" ht="29" x14ac:dyDescent="0.2">
      <c r="A183" s="26" t="s">
        <v>257</v>
      </c>
      <c r="B183" s="5" t="s">
        <v>115</v>
      </c>
      <c r="C183" s="6" t="s">
        <v>116</v>
      </c>
      <c r="D183" s="6" t="s">
        <v>238</v>
      </c>
      <c r="E183" s="27">
        <v>58</v>
      </c>
      <c r="F183" s="27">
        <v>80</v>
      </c>
      <c r="G183" s="32" t="s">
        <v>224</v>
      </c>
      <c r="H183" s="32" t="s">
        <v>377</v>
      </c>
      <c r="I183" s="32" t="s">
        <v>373</v>
      </c>
      <c r="J183" s="32"/>
      <c r="K183" s="32"/>
      <c r="L183" s="28">
        <f t="shared" si="2"/>
        <v>1.3793103448275863</v>
      </c>
      <c r="M183" s="5"/>
      <c r="N183" s="5"/>
      <c r="O183" s="5"/>
      <c r="P183" s="5"/>
      <c r="Q183" s="5"/>
      <c r="R183" s="5"/>
      <c r="S183" s="29"/>
      <c r="T183" s="30" t="s">
        <v>329</v>
      </c>
    </row>
    <row r="184" spans="1:20" x14ac:dyDescent="0.2">
      <c r="A184" s="26" t="s">
        <v>258</v>
      </c>
      <c r="B184" s="5" t="s">
        <v>115</v>
      </c>
      <c r="C184" s="6" t="s">
        <v>118</v>
      </c>
      <c r="D184" s="6" t="s">
        <v>119</v>
      </c>
      <c r="E184" s="27">
        <v>51.2</v>
      </c>
      <c r="F184" s="27">
        <v>68.7</v>
      </c>
      <c r="G184" s="32" t="s">
        <v>149</v>
      </c>
      <c r="H184" s="5"/>
      <c r="I184" s="5"/>
      <c r="J184" s="5"/>
      <c r="K184" s="5"/>
      <c r="L184" s="28">
        <f t="shared" si="2"/>
        <v>1.341796875</v>
      </c>
      <c r="M184" s="5"/>
      <c r="N184" s="5"/>
      <c r="O184" s="5"/>
      <c r="P184" s="5"/>
      <c r="Q184" s="5"/>
      <c r="R184" s="5"/>
      <c r="S184" s="29"/>
      <c r="T184" s="30" t="s">
        <v>329</v>
      </c>
    </row>
    <row r="185" spans="1:20" x14ac:dyDescent="0.2">
      <c r="A185" s="26" t="s">
        <v>259</v>
      </c>
      <c r="B185" s="5" t="s">
        <v>115</v>
      </c>
      <c r="C185" s="6" t="s">
        <v>116</v>
      </c>
      <c r="D185" s="6" t="s">
        <v>117</v>
      </c>
      <c r="E185" s="27">
        <v>23.5</v>
      </c>
      <c r="F185" s="27">
        <v>29.5</v>
      </c>
      <c r="G185" s="32" t="s">
        <v>260</v>
      </c>
      <c r="H185" s="5"/>
      <c r="I185" s="5"/>
      <c r="J185" s="5"/>
      <c r="K185" s="5"/>
      <c r="L185" s="28">
        <f t="shared" si="2"/>
        <v>1.2553191489361701</v>
      </c>
      <c r="M185" s="5"/>
      <c r="N185" s="5"/>
      <c r="O185" s="5"/>
      <c r="P185" s="5"/>
      <c r="Q185" s="5"/>
      <c r="R185" s="5"/>
      <c r="S185" s="29"/>
      <c r="T185" s="30" t="s">
        <v>329</v>
      </c>
    </row>
    <row r="186" spans="1:20" x14ac:dyDescent="0.2">
      <c r="A186" s="26" t="s">
        <v>261</v>
      </c>
      <c r="B186" s="5" t="s">
        <v>115</v>
      </c>
      <c r="C186" s="6" t="s">
        <v>116</v>
      </c>
      <c r="D186" s="6" t="s">
        <v>117</v>
      </c>
      <c r="E186" s="27">
        <v>18.8</v>
      </c>
      <c r="F186" s="27">
        <v>20.5</v>
      </c>
      <c r="G186" s="32" t="s">
        <v>262</v>
      </c>
      <c r="H186" s="5"/>
      <c r="I186" s="5"/>
      <c r="J186" s="5"/>
      <c r="K186" s="5"/>
      <c r="L186" s="28">
        <f t="shared" si="2"/>
        <v>1.0904255319148937</v>
      </c>
      <c r="M186" s="5"/>
      <c r="N186" s="5"/>
      <c r="O186" s="5"/>
      <c r="P186" s="5"/>
      <c r="Q186" s="5"/>
      <c r="R186" s="5"/>
      <c r="S186" s="29"/>
      <c r="T186" s="30" t="s">
        <v>329</v>
      </c>
    </row>
    <row r="187" spans="1:20" x14ac:dyDescent="0.2">
      <c r="A187" s="26" t="s">
        <v>263</v>
      </c>
      <c r="B187" s="5" t="s">
        <v>115</v>
      </c>
      <c r="C187" s="6" t="s">
        <v>118</v>
      </c>
      <c r="D187" s="6" t="s">
        <v>119</v>
      </c>
      <c r="E187" s="27">
        <v>102</v>
      </c>
      <c r="F187" s="27">
        <v>100</v>
      </c>
      <c r="G187" s="32" t="s">
        <v>196</v>
      </c>
      <c r="H187" s="5"/>
      <c r="I187" s="5"/>
      <c r="J187" s="5"/>
      <c r="K187" s="5"/>
      <c r="L187" s="28">
        <f t="shared" si="2"/>
        <v>0.98039215686274506</v>
      </c>
      <c r="M187" s="5"/>
      <c r="N187" s="5"/>
      <c r="O187" s="5"/>
      <c r="P187" s="5"/>
      <c r="Q187" s="5"/>
      <c r="R187" s="5"/>
      <c r="S187" s="29"/>
      <c r="T187" s="30" t="s">
        <v>329</v>
      </c>
    </row>
    <row r="188" spans="1:20" x14ac:dyDescent="0.2">
      <c r="A188" s="26" t="s">
        <v>264</v>
      </c>
      <c r="B188" s="5" t="s">
        <v>115</v>
      </c>
      <c r="C188" s="6" t="s">
        <v>124</v>
      </c>
      <c r="D188" s="6" t="s">
        <v>145</v>
      </c>
      <c r="E188" s="27">
        <v>24.5</v>
      </c>
      <c r="F188" s="27">
        <v>22.5</v>
      </c>
      <c r="G188" s="32" t="s">
        <v>149</v>
      </c>
      <c r="H188" s="5"/>
      <c r="I188" s="5"/>
      <c r="J188" s="5"/>
      <c r="K188" s="5"/>
      <c r="L188" s="28">
        <f t="shared" si="2"/>
        <v>0.91836734693877553</v>
      </c>
      <c r="M188" s="5"/>
      <c r="N188" s="5"/>
      <c r="O188" s="5"/>
      <c r="P188" s="5"/>
      <c r="Q188" s="5"/>
      <c r="R188" s="5"/>
      <c r="S188" s="29"/>
      <c r="T188" s="30" t="s">
        <v>329</v>
      </c>
    </row>
    <row r="189" spans="1:20" ht="29" x14ac:dyDescent="0.2">
      <c r="A189" s="26" t="s">
        <v>265</v>
      </c>
      <c r="B189" s="5" t="s">
        <v>115</v>
      </c>
      <c r="C189" s="6" t="s">
        <v>118</v>
      </c>
      <c r="D189" s="6" t="s">
        <v>119</v>
      </c>
      <c r="E189" s="27">
        <v>152.30000000000001</v>
      </c>
      <c r="F189" s="27">
        <v>121.7</v>
      </c>
      <c r="G189" s="32" t="s">
        <v>196</v>
      </c>
      <c r="H189" s="32" t="s">
        <v>149</v>
      </c>
      <c r="I189" s="32"/>
      <c r="J189" s="32"/>
      <c r="K189" s="32"/>
      <c r="L189" s="28">
        <f t="shared" si="2"/>
        <v>0.79908076165462893</v>
      </c>
      <c r="M189" s="5"/>
      <c r="N189" s="5"/>
      <c r="O189" s="5"/>
      <c r="P189" s="5"/>
      <c r="Q189" s="5"/>
      <c r="R189" s="5"/>
      <c r="S189" s="29"/>
      <c r="T189" s="30" t="s">
        <v>329</v>
      </c>
    </row>
    <row r="190" spans="1:20" x14ac:dyDescent="0.2">
      <c r="A190" s="26" t="s">
        <v>266</v>
      </c>
      <c r="B190" s="5" t="s">
        <v>115</v>
      </c>
      <c r="C190" s="6" t="s">
        <v>118</v>
      </c>
      <c r="D190" s="6" t="s">
        <v>119</v>
      </c>
      <c r="E190" s="27">
        <v>210</v>
      </c>
      <c r="F190" s="27">
        <v>166</v>
      </c>
      <c r="G190" s="32" t="s">
        <v>196</v>
      </c>
      <c r="H190" s="5"/>
      <c r="I190" s="5"/>
      <c r="J190" s="5"/>
      <c r="K190" s="5"/>
      <c r="L190" s="28">
        <f t="shared" si="2"/>
        <v>0.79047619047619044</v>
      </c>
      <c r="M190" s="5"/>
      <c r="N190" s="5"/>
      <c r="O190" s="5"/>
      <c r="P190" s="5"/>
      <c r="Q190" s="5"/>
      <c r="R190" s="5"/>
      <c r="S190" s="29"/>
      <c r="T190" s="30" t="s">
        <v>329</v>
      </c>
    </row>
    <row r="191" spans="1:20" x14ac:dyDescent="0.2">
      <c r="A191" s="26" t="s">
        <v>267</v>
      </c>
      <c r="B191" s="5" t="s">
        <v>115</v>
      </c>
      <c r="C191" s="6" t="s">
        <v>116</v>
      </c>
      <c r="D191" s="6" t="s">
        <v>117</v>
      </c>
      <c r="E191" s="27">
        <v>21.5</v>
      </c>
      <c r="F191" s="27">
        <v>16.100000000000001</v>
      </c>
      <c r="G191" s="32" t="s">
        <v>260</v>
      </c>
      <c r="H191" s="5"/>
      <c r="I191" s="5"/>
      <c r="J191" s="5"/>
      <c r="K191" s="5"/>
      <c r="L191" s="28">
        <f t="shared" si="2"/>
        <v>0.74883720930232567</v>
      </c>
      <c r="M191" s="5"/>
      <c r="N191" s="5"/>
      <c r="O191" s="5"/>
      <c r="P191" s="5"/>
      <c r="Q191" s="5"/>
      <c r="R191" s="5"/>
      <c r="S191" s="29"/>
      <c r="T191" s="30" t="s">
        <v>329</v>
      </c>
    </row>
    <row r="192" spans="1:20" x14ac:dyDescent="0.2">
      <c r="A192" s="26" t="s">
        <v>268</v>
      </c>
      <c r="B192" s="5" t="s">
        <v>115</v>
      </c>
      <c r="C192" s="6" t="s">
        <v>118</v>
      </c>
      <c r="D192" s="6" t="s">
        <v>119</v>
      </c>
      <c r="E192" s="27">
        <v>397.5</v>
      </c>
      <c r="F192" s="27">
        <v>236.1</v>
      </c>
      <c r="G192" s="32" t="s">
        <v>143</v>
      </c>
      <c r="H192" s="5"/>
      <c r="I192" s="5"/>
      <c r="J192" s="5"/>
      <c r="K192" s="5"/>
      <c r="L192" s="28">
        <f t="shared" si="2"/>
        <v>0.59396226415094333</v>
      </c>
      <c r="M192" s="5"/>
      <c r="N192" s="5"/>
      <c r="O192" s="5"/>
      <c r="P192" s="5"/>
      <c r="Q192" s="5"/>
      <c r="R192" s="5"/>
      <c r="S192" s="29"/>
      <c r="T192" s="30" t="s">
        <v>329</v>
      </c>
    </row>
    <row r="193" spans="1:31" x14ac:dyDescent="0.2">
      <c r="A193" s="26" t="s">
        <v>269</v>
      </c>
      <c r="B193" s="5" t="s">
        <v>115</v>
      </c>
      <c r="C193" s="6" t="s">
        <v>116</v>
      </c>
      <c r="D193" s="6" t="s">
        <v>117</v>
      </c>
      <c r="E193" s="27">
        <v>18</v>
      </c>
      <c r="F193" s="27">
        <v>9.6999999999999993</v>
      </c>
      <c r="G193" s="32" t="s">
        <v>260</v>
      </c>
      <c r="H193" s="5"/>
      <c r="I193" s="5"/>
      <c r="J193" s="5"/>
      <c r="K193" s="5"/>
      <c r="L193" s="28">
        <f t="shared" si="2"/>
        <v>0.53888888888888886</v>
      </c>
      <c r="M193" s="5"/>
      <c r="N193" s="5"/>
      <c r="O193" s="5"/>
      <c r="P193" s="5"/>
      <c r="Q193" s="5"/>
      <c r="R193" s="5"/>
      <c r="S193" s="29"/>
      <c r="T193" s="30" t="s">
        <v>329</v>
      </c>
    </row>
    <row r="194" spans="1:31" x14ac:dyDescent="0.2">
      <c r="A194" s="26" t="s">
        <v>270</v>
      </c>
      <c r="B194" s="5" t="s">
        <v>115</v>
      </c>
      <c r="C194" s="6" t="s">
        <v>118</v>
      </c>
      <c r="D194" s="6" t="s">
        <v>119</v>
      </c>
      <c r="E194" s="27">
        <v>307.5</v>
      </c>
      <c r="F194" s="27">
        <v>156.25</v>
      </c>
      <c r="G194" s="32" t="s">
        <v>196</v>
      </c>
      <c r="H194" s="5"/>
      <c r="I194" s="5"/>
      <c r="J194" s="5"/>
      <c r="K194" s="5"/>
      <c r="L194" s="28">
        <f t="shared" si="2"/>
        <v>0.50813008130081305</v>
      </c>
      <c r="M194" s="5"/>
      <c r="N194" s="5"/>
      <c r="O194" s="5"/>
      <c r="P194" s="5"/>
      <c r="Q194" s="5"/>
      <c r="R194" s="5"/>
      <c r="S194" s="29"/>
      <c r="T194" s="30" t="s">
        <v>329</v>
      </c>
    </row>
    <row r="195" spans="1:31" ht="20" customHeight="1" x14ac:dyDescent="0.2">
      <c r="A195" s="26" t="s">
        <v>271</v>
      </c>
      <c r="B195" s="5" t="s">
        <v>115</v>
      </c>
      <c r="C195" s="6" t="s">
        <v>116</v>
      </c>
      <c r="D195" s="6" t="s">
        <v>272</v>
      </c>
      <c r="E195" s="27">
        <v>45</v>
      </c>
      <c r="F195" s="27">
        <v>20</v>
      </c>
      <c r="G195" s="32" t="s">
        <v>373</v>
      </c>
      <c r="H195" s="32" t="s">
        <v>140</v>
      </c>
      <c r="I195" s="32" t="s">
        <v>372</v>
      </c>
      <c r="J195" s="32"/>
      <c r="K195" s="32"/>
      <c r="L195" s="28">
        <f t="shared" si="2"/>
        <v>0.44444444444444442</v>
      </c>
      <c r="M195" s="5"/>
      <c r="N195" s="5"/>
      <c r="O195" s="5"/>
      <c r="P195" s="5"/>
      <c r="Q195" s="5"/>
      <c r="R195" s="5"/>
      <c r="S195" s="29"/>
      <c r="T195" s="30" t="s">
        <v>329</v>
      </c>
    </row>
    <row r="196" spans="1:31" x14ac:dyDescent="0.2">
      <c r="A196" s="26" t="s">
        <v>273</v>
      </c>
      <c r="B196" s="5" t="s">
        <v>115</v>
      </c>
      <c r="C196" s="6" t="s">
        <v>118</v>
      </c>
      <c r="D196" s="6" t="s">
        <v>119</v>
      </c>
      <c r="E196" s="27">
        <v>82.1</v>
      </c>
      <c r="F196" s="27">
        <v>36</v>
      </c>
      <c r="G196" s="32" t="s">
        <v>120</v>
      </c>
      <c r="H196" s="5"/>
      <c r="I196" s="5"/>
      <c r="J196" s="5"/>
      <c r="K196" s="5"/>
      <c r="L196" s="28">
        <f t="shared" ref="L196:L225" si="3">F196/E196</f>
        <v>0.43848964677222901</v>
      </c>
      <c r="M196" s="5"/>
      <c r="N196" s="5"/>
      <c r="O196" s="5"/>
      <c r="P196" s="5"/>
      <c r="Q196" s="5"/>
      <c r="R196" s="5"/>
      <c r="S196" s="29"/>
      <c r="T196" s="30" t="s">
        <v>329</v>
      </c>
    </row>
    <row r="197" spans="1:31" x14ac:dyDescent="0.2">
      <c r="A197" s="26" t="s">
        <v>274</v>
      </c>
      <c r="B197" s="5" t="s">
        <v>115</v>
      </c>
      <c r="C197" s="6" t="s">
        <v>118</v>
      </c>
      <c r="D197" s="6" t="s">
        <v>119</v>
      </c>
      <c r="E197" s="27">
        <v>50</v>
      </c>
      <c r="F197" s="27">
        <v>15.4</v>
      </c>
      <c r="G197" s="32" t="s">
        <v>196</v>
      </c>
      <c r="H197" s="5"/>
      <c r="I197" s="5"/>
      <c r="J197" s="5"/>
      <c r="K197" s="5"/>
      <c r="L197" s="28">
        <f t="shared" si="3"/>
        <v>0.308</v>
      </c>
      <c r="M197" s="5"/>
      <c r="N197" s="5"/>
      <c r="O197" s="5"/>
      <c r="P197" s="5"/>
      <c r="Q197" s="5"/>
      <c r="R197" s="5"/>
      <c r="S197" s="29"/>
      <c r="T197" s="30" t="s">
        <v>329</v>
      </c>
    </row>
    <row r="198" spans="1:31" x14ac:dyDescent="0.2">
      <c r="A198" s="26" t="s">
        <v>275</v>
      </c>
      <c r="B198" s="5" t="s">
        <v>115</v>
      </c>
      <c r="C198" s="6" t="s">
        <v>118</v>
      </c>
      <c r="D198" s="6" t="s">
        <v>119</v>
      </c>
      <c r="E198" s="27">
        <v>225</v>
      </c>
      <c r="F198" s="27">
        <v>20.8</v>
      </c>
      <c r="G198" s="32" t="s">
        <v>196</v>
      </c>
      <c r="H198" s="5"/>
      <c r="I198" s="5"/>
      <c r="J198" s="5"/>
      <c r="K198" s="5"/>
      <c r="L198" s="28">
        <f t="shared" si="3"/>
        <v>9.2444444444444454E-2</v>
      </c>
      <c r="M198" s="5"/>
      <c r="N198" s="5"/>
      <c r="O198" s="5"/>
      <c r="P198" s="5"/>
      <c r="Q198" s="5"/>
      <c r="R198" s="5"/>
      <c r="S198" s="29"/>
      <c r="T198" s="30" t="s">
        <v>329</v>
      </c>
    </row>
    <row r="199" spans="1:31" s="17" customFormat="1" x14ac:dyDescent="0.2">
      <c r="A199" s="41" t="s">
        <v>323</v>
      </c>
      <c r="B199" s="34" t="s">
        <v>322</v>
      </c>
      <c r="C199" s="34"/>
      <c r="D199" s="34"/>
      <c r="E199" s="37">
        <v>1</v>
      </c>
      <c r="F199" s="37">
        <v>500</v>
      </c>
      <c r="G199" s="42" t="s">
        <v>334</v>
      </c>
      <c r="H199" s="34"/>
      <c r="I199" s="34"/>
      <c r="J199" s="34"/>
      <c r="K199" s="34"/>
      <c r="L199" s="38">
        <f t="shared" si="3"/>
        <v>500</v>
      </c>
      <c r="M199" s="34"/>
      <c r="N199" s="34"/>
      <c r="O199" s="34"/>
      <c r="P199" s="42"/>
      <c r="Q199" s="42"/>
      <c r="R199" s="34"/>
      <c r="S199" s="39"/>
      <c r="T199" s="40" t="s">
        <v>296</v>
      </c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x14ac:dyDescent="0.2">
      <c r="A200" s="30" t="s">
        <v>335</v>
      </c>
      <c r="B200" s="5" t="s">
        <v>322</v>
      </c>
      <c r="C200" s="5"/>
      <c r="D200" s="5"/>
      <c r="E200" s="31">
        <v>10</v>
      </c>
      <c r="F200" s="31">
        <v>300</v>
      </c>
      <c r="G200" s="32" t="s">
        <v>336</v>
      </c>
      <c r="H200" s="5"/>
      <c r="I200" s="5"/>
      <c r="J200" s="5"/>
      <c r="K200" s="5"/>
      <c r="L200" s="28">
        <f t="shared" si="3"/>
        <v>30</v>
      </c>
      <c r="M200" s="5"/>
      <c r="N200" s="5"/>
      <c r="O200" s="5"/>
      <c r="P200" s="32"/>
      <c r="Q200" s="32"/>
      <c r="R200" s="5"/>
      <c r="S200" s="29"/>
      <c r="T200" s="30" t="s">
        <v>296</v>
      </c>
    </row>
    <row r="201" spans="1:31" x14ac:dyDescent="0.2">
      <c r="A201" s="30" t="s">
        <v>297</v>
      </c>
      <c r="B201" s="5" t="s">
        <v>322</v>
      </c>
      <c r="C201" s="5"/>
      <c r="D201" s="5"/>
      <c r="E201" s="31">
        <v>5</v>
      </c>
      <c r="F201" s="31">
        <v>1000</v>
      </c>
      <c r="G201" s="32" t="s">
        <v>337</v>
      </c>
      <c r="H201" s="5"/>
      <c r="I201" s="5"/>
      <c r="J201" s="5"/>
      <c r="K201" s="5"/>
      <c r="L201" s="28">
        <f t="shared" si="3"/>
        <v>200</v>
      </c>
      <c r="M201" s="5"/>
      <c r="N201" s="5"/>
      <c r="O201" s="5"/>
      <c r="P201" s="32"/>
      <c r="Q201" s="32"/>
      <c r="R201" s="5"/>
      <c r="S201" s="29"/>
      <c r="T201" s="30" t="s">
        <v>296</v>
      </c>
    </row>
    <row r="202" spans="1:31" x14ac:dyDescent="0.2">
      <c r="A202" s="43" t="s">
        <v>298</v>
      </c>
      <c r="B202" s="5" t="s">
        <v>322</v>
      </c>
      <c r="C202" s="5"/>
      <c r="D202" s="5"/>
      <c r="E202" s="31">
        <v>7</v>
      </c>
      <c r="F202" s="31">
        <v>600</v>
      </c>
      <c r="G202" s="32" t="s">
        <v>341</v>
      </c>
      <c r="H202" s="5"/>
      <c r="I202" s="5"/>
      <c r="J202" s="5"/>
      <c r="K202" s="5"/>
      <c r="L202" s="28">
        <f t="shared" si="3"/>
        <v>85.714285714285708</v>
      </c>
      <c r="M202" s="5"/>
      <c r="N202" s="5"/>
      <c r="O202" s="5"/>
      <c r="P202" s="32"/>
      <c r="Q202" s="32"/>
      <c r="R202" s="5"/>
      <c r="S202" s="29"/>
      <c r="T202" s="30" t="s">
        <v>296</v>
      </c>
    </row>
    <row r="203" spans="1:31" x14ac:dyDescent="0.2">
      <c r="A203" s="43" t="s">
        <v>299</v>
      </c>
      <c r="B203" s="5" t="s">
        <v>322</v>
      </c>
      <c r="C203" s="5"/>
      <c r="D203" s="5"/>
      <c r="E203" s="31">
        <v>1</v>
      </c>
      <c r="F203" s="31">
        <v>160</v>
      </c>
      <c r="G203" s="32" t="s">
        <v>342</v>
      </c>
      <c r="H203" s="5"/>
      <c r="I203" s="5"/>
      <c r="J203" s="5"/>
      <c r="K203" s="5"/>
      <c r="L203" s="28">
        <f t="shared" si="3"/>
        <v>160</v>
      </c>
      <c r="M203" s="5"/>
      <c r="N203" s="5"/>
      <c r="O203" s="5"/>
      <c r="P203" s="32"/>
      <c r="Q203" s="32"/>
      <c r="R203" s="5"/>
      <c r="S203" s="29"/>
      <c r="T203" s="30" t="s">
        <v>296</v>
      </c>
    </row>
    <row r="204" spans="1:31" x14ac:dyDescent="0.2">
      <c r="A204" s="43" t="s">
        <v>300</v>
      </c>
      <c r="B204" s="5" t="s">
        <v>322</v>
      </c>
      <c r="C204" s="5"/>
      <c r="D204" s="5"/>
      <c r="E204" s="31">
        <v>2</v>
      </c>
      <c r="F204" s="31">
        <v>66</v>
      </c>
      <c r="G204" s="32" t="s">
        <v>332</v>
      </c>
      <c r="H204" s="5"/>
      <c r="I204" s="5"/>
      <c r="J204" s="5"/>
      <c r="K204" s="5"/>
      <c r="L204" s="28">
        <f t="shared" si="3"/>
        <v>33</v>
      </c>
      <c r="M204" s="5"/>
      <c r="N204" s="5"/>
      <c r="O204" s="5"/>
      <c r="P204" s="32"/>
      <c r="Q204" s="32"/>
      <c r="R204" s="5"/>
      <c r="S204" s="29"/>
      <c r="T204" s="30" t="s">
        <v>296</v>
      </c>
    </row>
    <row r="205" spans="1:31" x14ac:dyDescent="0.2">
      <c r="A205" s="43" t="s">
        <v>301</v>
      </c>
      <c r="B205" s="5" t="s">
        <v>322</v>
      </c>
      <c r="C205" s="5"/>
      <c r="D205" s="5"/>
      <c r="E205" s="31">
        <v>10</v>
      </c>
      <c r="F205" s="31">
        <v>10</v>
      </c>
      <c r="G205" s="32" t="s">
        <v>332</v>
      </c>
      <c r="H205" s="5"/>
      <c r="I205" s="5"/>
      <c r="J205" s="5"/>
      <c r="K205" s="5"/>
      <c r="L205" s="28">
        <f t="shared" si="3"/>
        <v>1</v>
      </c>
      <c r="M205" s="5"/>
      <c r="N205" s="5"/>
      <c r="O205" s="5"/>
      <c r="P205" s="5"/>
      <c r="Q205" s="5"/>
      <c r="R205" s="5"/>
      <c r="S205" s="29"/>
      <c r="T205" s="30" t="s">
        <v>296</v>
      </c>
    </row>
    <row r="206" spans="1:31" x14ac:dyDescent="0.2">
      <c r="A206" s="43" t="s">
        <v>302</v>
      </c>
      <c r="B206" s="5" t="s">
        <v>322</v>
      </c>
      <c r="C206" s="5"/>
      <c r="D206" s="5"/>
      <c r="E206" s="31">
        <v>2</v>
      </c>
      <c r="F206" s="31">
        <v>128</v>
      </c>
      <c r="G206" s="32" t="s">
        <v>332</v>
      </c>
      <c r="H206" s="5"/>
      <c r="I206" s="5"/>
      <c r="J206" s="5"/>
      <c r="K206" s="5"/>
      <c r="L206" s="28">
        <f t="shared" si="3"/>
        <v>64</v>
      </c>
      <c r="M206" s="5"/>
      <c r="N206" s="5"/>
      <c r="O206" s="5"/>
      <c r="P206" s="5"/>
      <c r="Q206" s="5"/>
      <c r="R206" s="5"/>
      <c r="S206" s="29"/>
      <c r="T206" s="30" t="s">
        <v>296</v>
      </c>
    </row>
    <row r="207" spans="1:31" x14ac:dyDescent="0.2">
      <c r="A207" s="43" t="s">
        <v>303</v>
      </c>
      <c r="B207" s="5" t="s">
        <v>322</v>
      </c>
      <c r="C207" s="5"/>
      <c r="D207" s="5"/>
      <c r="E207" s="31">
        <v>1.5</v>
      </c>
      <c r="F207" s="31">
        <v>45</v>
      </c>
      <c r="G207" s="32" t="s">
        <v>332</v>
      </c>
      <c r="H207" s="5"/>
      <c r="I207" s="5"/>
      <c r="J207" s="5"/>
      <c r="K207" s="5"/>
      <c r="L207" s="28">
        <f t="shared" si="3"/>
        <v>30</v>
      </c>
      <c r="M207" s="5"/>
      <c r="N207" s="5"/>
      <c r="O207" s="5"/>
      <c r="P207" s="5"/>
      <c r="Q207" s="5"/>
      <c r="R207" s="5"/>
      <c r="S207" s="29"/>
      <c r="T207" s="30" t="s">
        <v>296</v>
      </c>
    </row>
    <row r="208" spans="1:31" x14ac:dyDescent="0.2">
      <c r="A208" s="43" t="s">
        <v>304</v>
      </c>
      <c r="B208" s="5" t="s">
        <v>322</v>
      </c>
      <c r="C208" s="5"/>
      <c r="D208" s="5"/>
      <c r="E208" s="31">
        <v>1.5</v>
      </c>
      <c r="F208" s="31">
        <v>589</v>
      </c>
      <c r="G208" s="32" t="s">
        <v>332</v>
      </c>
      <c r="H208" s="5"/>
      <c r="I208" s="5"/>
      <c r="J208" s="5"/>
      <c r="K208" s="5"/>
      <c r="L208" s="28">
        <f t="shared" si="3"/>
        <v>392.66666666666669</v>
      </c>
      <c r="M208" s="5"/>
      <c r="N208" s="5"/>
      <c r="O208" s="5"/>
      <c r="P208" s="5"/>
      <c r="Q208" s="5"/>
      <c r="R208" s="5"/>
      <c r="S208" s="29"/>
      <c r="T208" s="30" t="s">
        <v>296</v>
      </c>
    </row>
    <row r="209" spans="1:20" x14ac:dyDescent="0.2">
      <c r="A209" s="43" t="s">
        <v>305</v>
      </c>
      <c r="B209" s="5" t="s">
        <v>322</v>
      </c>
      <c r="C209" s="5"/>
      <c r="D209" s="5"/>
      <c r="E209" s="31">
        <v>1</v>
      </c>
      <c r="F209" s="31">
        <v>468</v>
      </c>
      <c r="G209" s="32" t="s">
        <v>332</v>
      </c>
      <c r="H209" s="5"/>
      <c r="I209" s="5"/>
      <c r="J209" s="5"/>
      <c r="K209" s="5"/>
      <c r="L209" s="28">
        <f t="shared" si="3"/>
        <v>468</v>
      </c>
      <c r="M209" s="5"/>
      <c r="N209" s="5"/>
      <c r="O209" s="5"/>
      <c r="P209" s="5"/>
      <c r="Q209" s="5"/>
      <c r="R209" s="5"/>
      <c r="S209" s="29"/>
      <c r="T209" s="30" t="s">
        <v>296</v>
      </c>
    </row>
    <row r="210" spans="1:20" x14ac:dyDescent="0.2">
      <c r="A210" s="43" t="s">
        <v>306</v>
      </c>
      <c r="B210" s="5" t="s">
        <v>322</v>
      </c>
      <c r="C210" s="5"/>
      <c r="D210" s="5"/>
      <c r="E210" s="31">
        <v>2.5</v>
      </c>
      <c r="F210" s="31">
        <v>110</v>
      </c>
      <c r="G210" s="32" t="s">
        <v>332</v>
      </c>
      <c r="H210" s="5"/>
      <c r="I210" s="5"/>
      <c r="J210" s="5"/>
      <c r="K210" s="5"/>
      <c r="L210" s="28">
        <f t="shared" si="3"/>
        <v>44</v>
      </c>
      <c r="M210" s="5"/>
      <c r="N210" s="5"/>
      <c r="O210" s="5"/>
      <c r="P210" s="5"/>
      <c r="Q210" s="5"/>
      <c r="R210" s="5"/>
      <c r="S210" s="29"/>
      <c r="T210" s="30" t="s">
        <v>296</v>
      </c>
    </row>
    <row r="211" spans="1:20" x14ac:dyDescent="0.2">
      <c r="A211" s="43" t="s">
        <v>307</v>
      </c>
      <c r="B211" s="5" t="s">
        <v>322</v>
      </c>
      <c r="C211" s="5"/>
      <c r="D211" s="5"/>
      <c r="E211" s="31">
        <v>1.5</v>
      </c>
      <c r="F211" s="31">
        <v>60</v>
      </c>
      <c r="G211" s="32" t="s">
        <v>332</v>
      </c>
      <c r="H211" s="5"/>
      <c r="I211" s="5"/>
      <c r="J211" s="5"/>
      <c r="K211" s="5"/>
      <c r="L211" s="28">
        <f t="shared" si="3"/>
        <v>40</v>
      </c>
      <c r="M211" s="5"/>
      <c r="N211" s="5"/>
      <c r="O211" s="5"/>
      <c r="P211" s="5"/>
      <c r="Q211" s="5"/>
      <c r="R211" s="5"/>
      <c r="S211" s="29"/>
      <c r="T211" s="30" t="s">
        <v>296</v>
      </c>
    </row>
    <row r="212" spans="1:20" x14ac:dyDescent="0.2">
      <c r="A212" s="43" t="s">
        <v>308</v>
      </c>
      <c r="B212" s="5" t="s">
        <v>322</v>
      </c>
      <c r="C212" s="5"/>
      <c r="D212" s="5"/>
      <c r="E212" s="31">
        <v>3.5</v>
      </c>
      <c r="F212" s="31">
        <v>29</v>
      </c>
      <c r="G212" s="32" t="s">
        <v>343</v>
      </c>
      <c r="H212" s="5"/>
      <c r="I212" s="5"/>
      <c r="J212" s="5"/>
      <c r="K212" s="5"/>
      <c r="L212" s="28">
        <f t="shared" si="3"/>
        <v>8.2857142857142865</v>
      </c>
      <c r="M212" s="5"/>
      <c r="N212" s="5"/>
      <c r="O212" s="5"/>
      <c r="P212" s="32"/>
      <c r="Q212" s="32"/>
      <c r="R212" s="5"/>
      <c r="S212" s="29"/>
      <c r="T212" s="30" t="s">
        <v>296</v>
      </c>
    </row>
    <row r="213" spans="1:20" x14ac:dyDescent="0.2">
      <c r="A213" s="43" t="s">
        <v>309</v>
      </c>
      <c r="B213" s="5" t="s">
        <v>322</v>
      </c>
      <c r="C213" s="5"/>
      <c r="D213" s="5"/>
      <c r="E213" s="31">
        <v>2</v>
      </c>
      <c r="F213" s="31">
        <v>99</v>
      </c>
      <c r="G213" s="32" t="s">
        <v>344</v>
      </c>
      <c r="H213" s="5"/>
      <c r="I213" s="5"/>
      <c r="J213" s="5"/>
      <c r="K213" s="5"/>
      <c r="L213" s="28">
        <f t="shared" si="3"/>
        <v>49.5</v>
      </c>
      <c r="M213" s="5"/>
      <c r="N213" s="5"/>
      <c r="O213" s="5"/>
      <c r="P213" s="32"/>
      <c r="Q213" s="32"/>
      <c r="R213" s="5"/>
      <c r="S213" s="29"/>
      <c r="T213" s="30" t="s">
        <v>296</v>
      </c>
    </row>
    <row r="214" spans="1:20" x14ac:dyDescent="0.2">
      <c r="A214" s="43" t="s">
        <v>310</v>
      </c>
      <c r="B214" s="5" t="s">
        <v>322</v>
      </c>
      <c r="C214" s="5"/>
      <c r="D214" s="5"/>
      <c r="E214" s="31">
        <v>3</v>
      </c>
      <c r="F214" s="31">
        <v>71</v>
      </c>
      <c r="G214" s="32" t="s">
        <v>344</v>
      </c>
      <c r="H214" s="5"/>
      <c r="I214" s="5"/>
      <c r="J214" s="5"/>
      <c r="K214" s="5"/>
      <c r="L214" s="28">
        <f t="shared" si="3"/>
        <v>23.666666666666668</v>
      </c>
      <c r="M214" s="5"/>
      <c r="N214" s="5"/>
      <c r="O214" s="5"/>
      <c r="P214" s="5"/>
      <c r="Q214" s="5"/>
      <c r="R214" s="5"/>
      <c r="S214" s="29"/>
      <c r="T214" s="30" t="s">
        <v>296</v>
      </c>
    </row>
    <row r="215" spans="1:20" x14ac:dyDescent="0.2">
      <c r="A215" s="43" t="s">
        <v>311</v>
      </c>
      <c r="B215" s="5" t="s">
        <v>322</v>
      </c>
      <c r="C215" s="5"/>
      <c r="D215" s="5"/>
      <c r="E215" s="31">
        <v>4</v>
      </c>
      <c r="F215" s="31">
        <v>23</v>
      </c>
      <c r="G215" s="32" t="s">
        <v>345</v>
      </c>
      <c r="H215" s="5"/>
      <c r="I215" s="5"/>
      <c r="J215" s="5"/>
      <c r="K215" s="5"/>
      <c r="L215" s="28">
        <f t="shared" si="3"/>
        <v>5.75</v>
      </c>
      <c r="M215" s="5"/>
      <c r="N215" s="5"/>
      <c r="O215" s="5"/>
      <c r="P215" s="32"/>
      <c r="Q215" s="32"/>
      <c r="R215" s="5"/>
      <c r="S215" s="29"/>
      <c r="T215" s="30" t="s">
        <v>296</v>
      </c>
    </row>
    <row r="216" spans="1:20" x14ac:dyDescent="0.2">
      <c r="A216" s="43" t="s">
        <v>312</v>
      </c>
      <c r="B216" s="5" t="s">
        <v>322</v>
      </c>
      <c r="C216" s="5"/>
      <c r="D216" s="5"/>
      <c r="E216" s="31">
        <v>2</v>
      </c>
      <c r="F216" s="31">
        <v>55</v>
      </c>
      <c r="G216" s="32" t="s">
        <v>346</v>
      </c>
      <c r="H216" s="5"/>
      <c r="I216" s="5"/>
      <c r="J216" s="5"/>
      <c r="K216" s="5"/>
      <c r="L216" s="28">
        <f t="shared" si="3"/>
        <v>27.5</v>
      </c>
      <c r="M216" s="5"/>
      <c r="N216" s="5"/>
      <c r="O216" s="5"/>
      <c r="P216" s="32"/>
      <c r="Q216" s="32"/>
      <c r="R216" s="5"/>
      <c r="S216" s="29"/>
      <c r="T216" s="30" t="s">
        <v>296</v>
      </c>
    </row>
    <row r="217" spans="1:20" x14ac:dyDescent="0.2">
      <c r="A217" s="43" t="s">
        <v>313</v>
      </c>
      <c r="B217" s="5" t="s">
        <v>322</v>
      </c>
      <c r="C217" s="5"/>
      <c r="D217" s="5"/>
      <c r="E217" s="31">
        <v>2.5</v>
      </c>
      <c r="F217" s="31">
        <v>55</v>
      </c>
      <c r="G217" s="32" t="s">
        <v>347</v>
      </c>
      <c r="H217" s="5"/>
      <c r="I217" s="5"/>
      <c r="J217" s="5"/>
      <c r="K217" s="5"/>
      <c r="L217" s="28">
        <f t="shared" si="3"/>
        <v>22</v>
      </c>
      <c r="M217" s="5"/>
      <c r="N217" s="5"/>
      <c r="O217" s="5"/>
      <c r="P217" s="32"/>
      <c r="Q217" s="32"/>
      <c r="R217" s="5"/>
      <c r="S217" s="29"/>
      <c r="T217" s="30" t="s">
        <v>296</v>
      </c>
    </row>
    <row r="218" spans="1:20" x14ac:dyDescent="0.2">
      <c r="A218" s="30" t="s">
        <v>314</v>
      </c>
      <c r="B218" s="5" t="s">
        <v>322</v>
      </c>
      <c r="C218" s="5"/>
      <c r="D218" s="5"/>
      <c r="E218" s="31">
        <v>4</v>
      </c>
      <c r="F218" s="31">
        <v>27</v>
      </c>
      <c r="G218" s="32" t="s">
        <v>348</v>
      </c>
      <c r="H218" s="5"/>
      <c r="I218" s="5"/>
      <c r="J218" s="5"/>
      <c r="K218" s="5"/>
      <c r="L218" s="28">
        <f t="shared" si="3"/>
        <v>6.75</v>
      </c>
      <c r="M218" s="5"/>
      <c r="N218" s="5"/>
      <c r="O218" s="5"/>
      <c r="P218" s="32"/>
      <c r="Q218" s="32"/>
      <c r="R218" s="5"/>
      <c r="S218" s="29"/>
      <c r="T218" s="30" t="s">
        <v>296</v>
      </c>
    </row>
    <row r="219" spans="1:20" x14ac:dyDescent="0.2">
      <c r="A219" s="30" t="s">
        <v>315</v>
      </c>
      <c r="B219" s="5" t="s">
        <v>322</v>
      </c>
      <c r="C219" s="5"/>
      <c r="D219" s="5"/>
      <c r="E219" s="31">
        <v>2</v>
      </c>
      <c r="F219" s="31">
        <v>55</v>
      </c>
      <c r="G219" s="32" t="s">
        <v>349</v>
      </c>
      <c r="H219" s="5"/>
      <c r="I219" s="5"/>
      <c r="J219" s="5"/>
      <c r="K219" s="5"/>
      <c r="L219" s="28">
        <f t="shared" si="3"/>
        <v>27.5</v>
      </c>
      <c r="M219" s="5"/>
      <c r="N219" s="5"/>
      <c r="O219" s="5"/>
      <c r="P219" s="32"/>
      <c r="Q219" s="32"/>
      <c r="R219" s="5"/>
      <c r="S219" s="29"/>
      <c r="T219" s="30" t="s">
        <v>296</v>
      </c>
    </row>
    <row r="220" spans="1:20" x14ac:dyDescent="0.2">
      <c r="A220" s="43" t="s">
        <v>316</v>
      </c>
      <c r="B220" s="5" t="s">
        <v>322</v>
      </c>
      <c r="C220" s="5"/>
      <c r="D220" s="5"/>
      <c r="E220" s="31">
        <v>10</v>
      </c>
      <c r="F220" s="31">
        <v>6</v>
      </c>
      <c r="G220" s="32" t="s">
        <v>350</v>
      </c>
      <c r="H220" s="5"/>
      <c r="I220" s="5"/>
      <c r="J220" s="5"/>
      <c r="K220" s="5"/>
      <c r="L220" s="28">
        <f t="shared" si="3"/>
        <v>0.6</v>
      </c>
      <c r="M220" s="5"/>
      <c r="N220" s="5"/>
      <c r="O220" s="5"/>
      <c r="P220" s="32"/>
      <c r="Q220" s="32"/>
      <c r="R220" s="5"/>
      <c r="S220" s="29"/>
      <c r="T220" s="30" t="s">
        <v>296</v>
      </c>
    </row>
    <row r="221" spans="1:20" ht="18" customHeight="1" x14ac:dyDescent="0.2">
      <c r="A221" s="43" t="s">
        <v>317</v>
      </c>
      <c r="B221" s="5" t="s">
        <v>322</v>
      </c>
      <c r="C221" s="5"/>
      <c r="D221" s="5"/>
      <c r="E221" s="31">
        <v>15</v>
      </c>
      <c r="F221" s="31">
        <v>30</v>
      </c>
      <c r="G221" s="32" t="s">
        <v>355</v>
      </c>
      <c r="H221" s="32" t="s">
        <v>352</v>
      </c>
      <c r="I221" s="32"/>
      <c r="J221" s="32"/>
      <c r="K221" s="32"/>
      <c r="L221" s="28">
        <f t="shared" si="3"/>
        <v>2</v>
      </c>
      <c r="M221" s="5"/>
      <c r="N221" s="5"/>
      <c r="O221" s="5"/>
      <c r="P221" s="5"/>
      <c r="Q221" s="5"/>
      <c r="R221" s="5"/>
      <c r="S221" s="29"/>
      <c r="T221" s="30" t="s">
        <v>296</v>
      </c>
    </row>
    <row r="222" spans="1:20" x14ac:dyDescent="0.2">
      <c r="A222" s="43" t="s">
        <v>318</v>
      </c>
      <c r="B222" s="5" t="s">
        <v>322</v>
      </c>
      <c r="C222" s="5"/>
      <c r="D222" s="5"/>
      <c r="E222" s="31">
        <v>20</v>
      </c>
      <c r="F222" s="31">
        <v>6.9</v>
      </c>
      <c r="G222" s="32" t="s">
        <v>353</v>
      </c>
      <c r="H222" s="5"/>
      <c r="I222" s="5"/>
      <c r="J222" s="5"/>
      <c r="K222" s="5"/>
      <c r="L222" s="28">
        <f t="shared" si="3"/>
        <v>0.34500000000000003</v>
      </c>
      <c r="M222" s="5"/>
      <c r="N222" s="5"/>
      <c r="O222" s="5"/>
      <c r="P222" s="32"/>
      <c r="Q222" s="32"/>
      <c r="R222" s="5"/>
      <c r="S222" s="29"/>
      <c r="T222" s="30" t="s">
        <v>296</v>
      </c>
    </row>
    <row r="223" spans="1:20" x14ac:dyDescent="0.2">
      <c r="A223" s="43" t="s">
        <v>319</v>
      </c>
      <c r="B223" s="5" t="s">
        <v>322</v>
      </c>
      <c r="C223" s="5"/>
      <c r="D223" s="5"/>
      <c r="E223" s="31">
        <v>12.5</v>
      </c>
      <c r="F223" s="31">
        <v>19</v>
      </c>
      <c r="G223" s="32" t="s">
        <v>354</v>
      </c>
      <c r="H223" s="5"/>
      <c r="I223" s="5"/>
      <c r="J223" s="5"/>
      <c r="K223" s="5"/>
      <c r="L223" s="28">
        <f t="shared" si="3"/>
        <v>1.52</v>
      </c>
      <c r="M223" s="5"/>
      <c r="N223" s="5"/>
      <c r="O223" s="5"/>
      <c r="P223" s="32"/>
      <c r="Q223" s="32"/>
      <c r="R223" s="5"/>
      <c r="S223" s="29"/>
      <c r="T223" s="30" t="s">
        <v>296</v>
      </c>
    </row>
    <row r="224" spans="1:20" x14ac:dyDescent="0.2">
      <c r="A224" s="43" t="s">
        <v>320</v>
      </c>
      <c r="B224" s="5" t="s">
        <v>322</v>
      </c>
      <c r="C224" s="5"/>
      <c r="D224" s="5"/>
      <c r="E224" s="31">
        <v>10</v>
      </c>
      <c r="F224" s="31">
        <v>1.9</v>
      </c>
      <c r="G224" s="32" t="s">
        <v>356</v>
      </c>
      <c r="H224" s="5"/>
      <c r="I224" s="5"/>
      <c r="J224" s="5"/>
      <c r="K224" s="5"/>
      <c r="L224" s="28">
        <f t="shared" si="3"/>
        <v>0.19</v>
      </c>
      <c r="M224" s="5"/>
      <c r="N224" s="5"/>
      <c r="O224" s="5"/>
      <c r="P224" s="32"/>
      <c r="Q224" s="32"/>
      <c r="R224" s="5"/>
      <c r="S224" s="29"/>
      <c r="T224" s="30" t="s">
        <v>296</v>
      </c>
    </row>
    <row r="225" spans="1:20" s="18" customFormat="1" x14ac:dyDescent="0.2">
      <c r="A225" s="44" t="s">
        <v>321</v>
      </c>
      <c r="B225" s="45" t="s">
        <v>322</v>
      </c>
      <c r="C225" s="45"/>
      <c r="D225" s="45"/>
      <c r="E225" s="46">
        <v>8</v>
      </c>
      <c r="F225" s="46">
        <v>14</v>
      </c>
      <c r="G225" s="48" t="s">
        <v>357</v>
      </c>
      <c r="H225" s="45"/>
      <c r="I225" s="45"/>
      <c r="J225" s="45"/>
      <c r="K225" s="45"/>
      <c r="L225" s="47">
        <f t="shared" si="3"/>
        <v>1.75</v>
      </c>
      <c r="M225" s="45"/>
      <c r="N225" s="45"/>
      <c r="O225" s="45"/>
      <c r="P225" s="48"/>
      <c r="Q225" s="48"/>
      <c r="R225" s="45"/>
      <c r="S225" s="49"/>
      <c r="T225" s="50" t="s">
        <v>296</v>
      </c>
    </row>
  </sheetData>
  <hyperlinks>
    <hyperlink ref="P5" r:id="rId1" display="(Agua 2009)" xr:uid="{90EE30DF-FB76-DC43-8C51-67CE003F4A6E}"/>
    <hyperlink ref="P7" r:id="rId2" xr:uid="{DA8FFB03-FCA0-A248-AE83-9E97AA961439}"/>
    <hyperlink ref="G8" r:id="rId3" xr:uid="{C0E038B1-ABF5-0645-B3F2-0A2D97797628}"/>
    <hyperlink ref="G10" r:id="rId4" xr:uid="{C6D49648-4050-1844-8F0D-C1705C84DF65}"/>
    <hyperlink ref="P10" r:id="rId5" xr:uid="{3A22E6B9-8B73-8548-9D94-26ED8EB48DC0}"/>
    <hyperlink ref="P11" r:id="rId6" xr:uid="{686CC194-EDEA-1748-90DF-85726C8E30B8}"/>
    <hyperlink ref="P19" r:id="rId7" xr:uid="{21F9690E-C064-5C4D-AF1F-6C11300E7E46}"/>
    <hyperlink ref="P21" r:id="rId8" xr:uid="{7FB77486-B4FF-4D4C-A189-16E03FF55C73}"/>
    <hyperlink ref="P23" r:id="rId9" xr:uid="{FCBF884C-0D9C-D948-B722-7A534B49FDB4}"/>
    <hyperlink ref="P25" r:id="rId10" xr:uid="{1F4A45D3-B635-9743-B71C-2DDCF0F59C61}"/>
    <hyperlink ref="P28" r:id="rId11" xr:uid="{6C7E5969-4EC4-EC4F-B546-317FC28DB48E}"/>
    <hyperlink ref="P32" r:id="rId12" xr:uid="{3865F3FF-9CAC-D349-B34B-89AA425E1AB8}"/>
    <hyperlink ref="P35" r:id="rId13" location="content" xr:uid="{F71643CB-4538-F948-B2C1-EDC752138A1C}"/>
    <hyperlink ref="P37" r:id="rId14" xr:uid="{0C762439-B9CC-5E4F-8609-9ABFA589A98C}"/>
    <hyperlink ref="P39" r:id="rId15" xr:uid="{E1FAF66C-7790-8147-8184-19B94370328B}"/>
    <hyperlink ref="P46" r:id="rId16" xr:uid="{D15A64A7-004F-D841-9C5E-7C0BA078268D}"/>
    <hyperlink ref="G54" r:id="rId17" location="bib95" display="https://elifesciences.org/articles/44907 - bib95" xr:uid="{C198AD1F-12CA-9648-825F-27FD685273AD}"/>
    <hyperlink ref="P56" r:id="rId18" xr:uid="{57B1B8D8-7D42-F84E-8E3E-C688F0E769A9}"/>
    <hyperlink ref="P58" r:id="rId19" xr:uid="{3BFDBC92-7E37-4240-B16A-297B64C8FE9D}"/>
    <hyperlink ref="P59" r:id="rId20" xr:uid="{33415C70-1E73-3745-807E-79F9C7D92954}"/>
    <hyperlink ref="P14" r:id="rId21" xr:uid="{6A644E81-8764-E844-9353-A5B3F96F8EBD}"/>
    <hyperlink ref="G7" r:id="rId22" xr:uid="{78E25A22-AF0E-9940-A65B-34FD32E0B3E2}"/>
    <hyperlink ref="G2" r:id="rId23" display="(Gemmell, Jiang and Buskey 2015)" xr:uid="{E2326C67-9356-C044-AF43-099EB830C8FC}"/>
    <hyperlink ref="G4" r:id="rId24" display="(Gomez 2017)" xr:uid="{502C8CEF-3FA4-C442-BA9E-90566690F576}"/>
    <hyperlink ref="G204" r:id="rId25" xr:uid="{70CE6EEB-E294-F64F-8B08-51E3D6E86956}"/>
    <hyperlink ref="G205" r:id="rId26" xr:uid="{964CE945-6EDC-894F-80E4-EEA98390B887}"/>
    <hyperlink ref="G206" r:id="rId27" xr:uid="{B50CD0B1-92B1-6C40-8A74-22AF9F041C15}"/>
    <hyperlink ref="G207" r:id="rId28" xr:uid="{A89EA56E-E372-B44B-B75A-81DF41F451F0}"/>
    <hyperlink ref="G208" r:id="rId29" xr:uid="{1AC7D2D0-E116-7F45-8268-F6ACD6BABF7F}"/>
    <hyperlink ref="G209" r:id="rId30" xr:uid="{BD9C1998-6238-0B44-80BA-C83B88B04D58}"/>
    <hyperlink ref="G210" r:id="rId31" xr:uid="{AFCB1EDF-CFD8-7846-94A5-0FD7D2454055}"/>
    <hyperlink ref="G211" r:id="rId32" xr:uid="{80BE0C8F-76D4-E346-9099-D7C74A34253A}"/>
    <hyperlink ref="G9" r:id="rId33" xr:uid="{86A06EFE-8441-554F-88AE-15580FB1F230}"/>
    <hyperlink ref="G12" r:id="rId34" xr:uid="{0B6D86BC-EB94-AE4F-B5F8-7D3FF67F51A6}"/>
    <hyperlink ref="P9" r:id="rId35" xr:uid="{5D2D53AB-4066-8D43-B091-F7EDA54F72C4}"/>
    <hyperlink ref="P12" r:id="rId36" xr:uid="{68177421-1957-CF4D-A31E-CF151E9FE503}"/>
    <hyperlink ref="P8" r:id="rId37" xr:uid="{441D9F7F-1940-C74C-A680-8517BC75CA85}"/>
    <hyperlink ref="G13" r:id="rId38" xr:uid="{DD65FF11-6EC6-7D49-9C42-0153BF4D171B}"/>
    <hyperlink ref="G18" r:id="rId39" xr:uid="{6B054B59-45D6-4B4F-82F4-5CBC051F4CBA}"/>
    <hyperlink ref="G21" r:id="rId40" xr:uid="{45206C78-16D0-F74B-88FD-72BE1B7A12E9}"/>
    <hyperlink ref="G22" r:id="rId41" xr:uid="{B511D78D-F298-E74B-BA98-9DF3C580179A}"/>
    <hyperlink ref="G27" r:id="rId42" xr:uid="{94F2D96C-40B9-ED4C-810D-15B65825B755}"/>
    <hyperlink ref="H28" r:id="rId43" xr:uid="{1A259619-8E72-3A44-949F-1727F75F0FE4}"/>
    <hyperlink ref="G29" r:id="rId44" xr:uid="{6D55E761-4073-3141-A97F-93D519DE227F}"/>
    <hyperlink ref="G30" r:id="rId45" xr:uid="{C047C5E4-B016-0A42-9B31-E459892933BB}"/>
    <hyperlink ref="G32" r:id="rId46" xr:uid="{578B034F-5AA6-E147-B93A-5573D3882FA7}"/>
    <hyperlink ref="G36" r:id="rId47" xr:uid="{D1BB40DF-5260-2242-8B79-0E075740A1E9}"/>
    <hyperlink ref="G37" r:id="rId48" xr:uid="{C225D343-098A-7349-AC2D-3AA669744AEF}"/>
    <hyperlink ref="G40" r:id="rId49" xr:uid="{105063D5-064A-C243-88A4-C17803E2DD97}"/>
    <hyperlink ref="G43" r:id="rId50" xr:uid="{E4C1E10F-BEAE-134E-AC24-11F2B584E1E6}"/>
    <hyperlink ref="G46" r:id="rId51" xr:uid="{8FFFD2C3-9876-9D4E-A27A-D4377C360358}"/>
    <hyperlink ref="G47" r:id="rId52" xr:uid="{2F5F6E74-17E1-3D42-B714-CE64A2FF6501}"/>
    <hyperlink ref="G52" r:id="rId53" xr:uid="{0EAC0484-20D0-8D43-9F5F-24EFDB9D2A58}"/>
    <hyperlink ref="G55" r:id="rId54" xr:uid="{924AE980-19F3-5447-B0E3-04E658723B7F}"/>
    <hyperlink ref="G56" r:id="rId55" xr:uid="{C293F969-A962-F745-B30B-1E0CD0E9260C}"/>
    <hyperlink ref="G58" r:id="rId56" xr:uid="{5D4B12B4-AA63-8C4C-90A2-D42B30418690}"/>
    <hyperlink ref="G61" r:id="rId57" xr:uid="{20B2CB16-8EF6-5843-B5DF-FE8C56A74743}"/>
    <hyperlink ref="G62" r:id="rId58" xr:uid="{15AD47D1-CBB1-0E4C-A0AE-2B3101B24966}"/>
    <hyperlink ref="G65" r:id="rId59" xr:uid="{98D856AD-20A5-3A4B-86C1-D9163DE2C551}"/>
    <hyperlink ref="G67" r:id="rId60" xr:uid="{898B368C-6A7B-394C-87AF-7C4C21B1234F}"/>
    <hyperlink ref="G68" r:id="rId61" xr:uid="{0B8FD50C-A2B5-2D42-A8D4-2658A730FCE9}"/>
    <hyperlink ref="G69" r:id="rId62" xr:uid="{A1A3E1C7-F4A3-FE4A-BE15-00F12FDD88E2}"/>
    <hyperlink ref="G70" r:id="rId63" xr:uid="{DCA03AB7-F480-3D44-8B6F-F04424909DC9}"/>
    <hyperlink ref="G72" r:id="rId64" xr:uid="{C6166714-A2E6-FE45-ABE1-BF002891892E}"/>
    <hyperlink ref="G73" r:id="rId65" xr:uid="{C28E9CF9-FF5A-C946-A277-1BC89BE0A0DD}"/>
    <hyperlink ref="G78" r:id="rId66" xr:uid="{0BCD135B-E794-674A-ADE4-CBDB79BF0308}"/>
    <hyperlink ref="G81" r:id="rId67" xr:uid="{2D36B166-6EB5-804B-BA97-6294F7FBD425}"/>
    <hyperlink ref="G82" r:id="rId68" xr:uid="{D6CEDFA5-DE2F-924E-840E-CA0134DFA1B9}"/>
    <hyperlink ref="G83" r:id="rId69" xr:uid="{AF079F90-AAE2-5741-B591-EB81437C2982}"/>
    <hyperlink ref="G199" r:id="rId70" xr:uid="{4894CEB6-8F74-9249-A1E0-7BACDD3BD39B}"/>
    <hyperlink ref="G200" r:id="rId71" xr:uid="{C7950ADE-7113-EE47-8334-A649358EB9BD}"/>
    <hyperlink ref="G201" r:id="rId72" xr:uid="{55F4AB6C-6BD2-E041-BB18-E04A2310D811}"/>
    <hyperlink ref="G3" r:id="rId73" display="(Gemmell, Jiang and Buskey 2015)" xr:uid="{B1343FB4-A8B9-324E-B3FF-1505B1F89085}"/>
    <hyperlink ref="G5" r:id="rId74" display="(Gemmell, Jiang and Buskey 2015)" xr:uid="{C6C5A132-59A8-A241-B4E8-57AEA7B82511}"/>
    <hyperlink ref="P2" r:id="rId75" xr:uid="{97C79DEE-5E31-5741-A4ED-63657BC17AF4}"/>
    <hyperlink ref="P3" r:id="rId76" display="(Gemmell, Jiang and Buskey 2015)" xr:uid="{41359BB3-E376-8549-B32A-D41715EB077B}"/>
    <hyperlink ref="P4" r:id="rId77" display="(Gomez 2017)" xr:uid="{DAF3A679-505E-4246-AD4C-79A2026237AE}"/>
    <hyperlink ref="G202" r:id="rId78" xr:uid="{88A5D708-7B9E-5544-B2AF-253D3C41E6C1}"/>
    <hyperlink ref="G203" r:id="rId79" xr:uid="{4CC622D8-0B8E-224F-863F-8FA6FFF103F7}"/>
    <hyperlink ref="G212" r:id="rId80" xr:uid="{68823341-0334-0745-B13A-92E6AB820867}"/>
    <hyperlink ref="G213" r:id="rId81" xr:uid="{DEAF85BF-1A71-3941-BC79-A9C2C4B58BCB}"/>
    <hyperlink ref="G214" r:id="rId82" xr:uid="{64CBA861-CFBB-604F-9F24-2F64DBDE1137}"/>
    <hyperlink ref="G215" r:id="rId83" xr:uid="{4651A7B7-C4D8-094A-885B-33F56BFFCDFC}"/>
    <hyperlink ref="G216" r:id="rId84" xr:uid="{DD93A5AA-4CEC-9A41-B106-714DB3AAA840}"/>
    <hyperlink ref="G217" r:id="rId85" xr:uid="{88AFF6A1-C8A2-F44C-8B55-37CDF43C5F77}"/>
    <hyperlink ref="G218" r:id="rId86" xr:uid="{27D78E0F-03A2-2649-98CE-E3192629A422}"/>
    <hyperlink ref="G219" r:id="rId87" xr:uid="{4E35EFE9-A700-154C-9E73-4566AF321080}"/>
    <hyperlink ref="G220" r:id="rId88" xr:uid="{CDC20018-2C97-ED4F-8DA3-2D0852B39D52}"/>
    <hyperlink ref="G221" r:id="rId89" xr:uid="{B0D6B014-77F1-0E43-A078-E5C5A8DEABFC}"/>
    <hyperlink ref="H221" r:id="rId90" xr:uid="{0067CA1E-2134-AB4E-9CE9-4D56A582C878}"/>
    <hyperlink ref="G222" r:id="rId91" xr:uid="{D6B401E3-516C-464D-A5B2-F5E0793D9D54}"/>
    <hyperlink ref="G223" r:id="rId92" xr:uid="{9096F127-853A-3D45-8C25-9D3082AC9A21}"/>
    <hyperlink ref="G224" r:id="rId93" xr:uid="{2BD84AD4-AF2E-F34F-A0F3-0CBC7C7B1764}"/>
    <hyperlink ref="G225" r:id="rId94" xr:uid="{27DC5A75-1386-A749-8553-1E7DAC171CA7}"/>
    <hyperlink ref="G28" r:id="rId95" xr:uid="{709EFEA6-2843-0947-9C71-4F52B429F210}"/>
    <hyperlink ref="H29" r:id="rId96" xr:uid="{E78C1C03-6A2E-EF4E-BB9C-06DEC044C09F}"/>
    <hyperlink ref="H30" r:id="rId97" xr:uid="{80CE9ADE-4831-7C45-A69B-670D9327A68C}"/>
    <hyperlink ref="G20" r:id="rId98" xr:uid="{D27300C9-B10A-6140-B0C0-1E099ACA7F73}"/>
    <hyperlink ref="H42" r:id="rId99" xr:uid="{5225654D-5A9B-D548-8204-EA6A683F8653}"/>
    <hyperlink ref="G42" r:id="rId100" xr:uid="{E3570BA5-9899-0E43-82BB-03FD8989DFCA}"/>
    <hyperlink ref="G197" r:id="rId101" xr:uid="{1FFAB821-9BFD-1F43-842B-F699507CC214}"/>
    <hyperlink ref="G198" r:id="rId102" xr:uid="{AF019504-8421-8944-B908-319A84ABC3BA}"/>
    <hyperlink ref="G190" r:id="rId103" xr:uid="{0D465876-B745-324F-8505-0B3B4ACBE80F}"/>
    <hyperlink ref="G187" r:id="rId104" xr:uid="{CD9D9F94-305B-5042-803B-AB314EFEE503}"/>
    <hyperlink ref="G180" r:id="rId105" xr:uid="{05DE280D-27C5-844F-AFF0-AD7996386CC7}"/>
    <hyperlink ref="G168" r:id="rId106" xr:uid="{D53DB510-9151-2143-ADB1-7BF93B37D6B1}"/>
    <hyperlink ref="G170" r:id="rId107" xr:uid="{01D19FF7-EFAE-8546-BB9A-11FE6CD2057E}"/>
    <hyperlink ref="G166" r:id="rId108" xr:uid="{6E408DAF-131F-7B4F-83C9-67FB0578ED48}"/>
    <hyperlink ref="G111" r:id="rId109" xr:uid="{01866C74-6D74-0044-B8F1-6537AD1CC320}"/>
    <hyperlink ref="G112" r:id="rId110" xr:uid="{7F096E06-1C2C-4A44-A5A2-4532C24E45F6}"/>
    <hyperlink ref="G113" r:id="rId111" xr:uid="{93DFF996-1E65-EE41-B854-8A28DAE5611B}"/>
    <hyperlink ref="G114" r:id="rId112" xr:uid="{1A5F7832-E171-2246-9ED9-5E5DB7283469}"/>
    <hyperlink ref="G124" r:id="rId113" xr:uid="{22745A02-2C26-AC40-9930-A04C33EC364F}"/>
    <hyperlink ref="G148" r:id="rId114" xr:uid="{187E80B3-BFC4-B445-BE1F-8362E4E2D664}"/>
    <hyperlink ref="G171" r:id="rId115" xr:uid="{04350353-DBD9-FD4A-A175-92E447CD7233}"/>
    <hyperlink ref="G196" r:id="rId116" xr:uid="{5EF0ECB7-1789-BC45-A681-4125EE13F626}"/>
    <hyperlink ref="G143" r:id="rId117" xr:uid="{BE350DA3-5453-684D-B425-11FECE3ED051}"/>
    <hyperlink ref="H134" r:id="rId118" xr:uid="{EB42AD81-84DF-E243-9382-0487AF2E4400}"/>
    <hyperlink ref="H189" r:id="rId119" xr:uid="{6F9991D5-211D-CD4B-92C3-2155A23EE923}"/>
    <hyperlink ref="G136" r:id="rId120" xr:uid="{176498C2-E074-F14B-9CC7-98BDA1FCB661}"/>
    <hyperlink ref="G142" r:id="rId121" xr:uid="{745D8F0C-5B18-464F-B4E5-880CC9FD2D5B}"/>
    <hyperlink ref="G122" r:id="rId122" xr:uid="{A84F5EF8-6E01-7A4F-B45A-4AAD7B415DBB}"/>
    <hyperlink ref="G108" r:id="rId123" xr:uid="{9586B924-97AB-6A45-A550-C85093BDBBCA}"/>
    <hyperlink ref="G102" r:id="rId124" xr:uid="{0CAB10B2-96E3-EC4B-9FBF-FB81C3ACBE74}"/>
    <hyperlink ref="G184" r:id="rId125" xr:uid="{09123AAE-6151-744F-A96E-777E402ABB12}"/>
    <hyperlink ref="G188" r:id="rId126" xr:uid="{FB963E1F-227E-294B-A637-EFB823523E5B}"/>
    <hyperlink ref="G189" r:id="rId127" xr:uid="{8B2A9C99-3AAA-B94F-A687-DB372F1C5DF1}"/>
    <hyperlink ref="H154" r:id="rId128" xr:uid="{04A12845-E19F-EB41-8316-225CC1D6E974}"/>
    <hyperlink ref="G154" r:id="rId129" xr:uid="{8E418C36-9E09-AA49-8221-416843C0332E}"/>
    <hyperlink ref="H140" r:id="rId130" xr:uid="{6F367F0D-DCFB-264A-97F8-69CAD303C3E5}"/>
    <hyperlink ref="G140" r:id="rId131" xr:uid="{30D68D52-4075-F645-BED4-FB962CF45991}"/>
    <hyperlink ref="G191" r:id="rId132" xr:uid="{105B9601-88A5-F949-B7EF-23DF00D11941}"/>
    <hyperlink ref="G193" r:id="rId133" xr:uid="{5DD50D06-EC70-3B4B-8533-04FE5D7B5D3F}"/>
    <hyperlink ref="G185" r:id="rId134" xr:uid="{6F325A2C-D918-C24C-AB49-061157FAF898}"/>
    <hyperlink ref="G51" r:id="rId135" xr:uid="{191743DD-07EC-234E-BBD1-0066247C29A7}"/>
    <hyperlink ref="G59" r:id="rId136" xr:uid="{A0D17F88-65C2-3E43-A2DF-8E532811A426}"/>
    <hyperlink ref="G60" r:id="rId137" xr:uid="{EA7CDD68-4F49-B247-8390-E7B908ED4E0C}"/>
    <hyperlink ref="G63" r:id="rId138" xr:uid="{7528988D-AF3E-734A-99E4-B927FE603869}"/>
    <hyperlink ref="G66" r:id="rId139" xr:uid="{B30D61BC-2F94-A14B-9C64-EE9B4309EA67}"/>
    <hyperlink ref="G71" r:id="rId140" xr:uid="{5F253564-1F91-704A-A020-845B26454713}"/>
    <hyperlink ref="G74" r:id="rId141" xr:uid="{5341D104-2CAD-C548-A828-8910B8749AFA}"/>
    <hyperlink ref="G76" r:id="rId142" xr:uid="{92419836-5259-1648-BE23-F459C875CB45}"/>
    <hyperlink ref="G77" r:id="rId143" xr:uid="{C9AD2BE9-D377-B341-AF89-C33B7DFF2318}"/>
    <hyperlink ref="G107" r:id="rId144" xr:uid="{454C5FDB-FFEE-F544-848C-6AD8D93BE741}"/>
    <hyperlink ref="G135" r:id="rId145" xr:uid="{C861113E-04C4-B442-AB4B-7B12B6422502}"/>
    <hyperlink ref="G162" r:id="rId146" xr:uid="{FF8E6FF6-80FA-DD49-8088-C2678D9A4057}"/>
    <hyperlink ref="G165" r:id="rId147" xr:uid="{D52E68C8-E3A9-0B45-9962-8C0C1E9E4905}"/>
    <hyperlink ref="G163" r:id="rId148" xr:uid="{286A46B3-35FE-AD49-89E9-F10DE2893EA2}"/>
    <hyperlink ref="G23" r:id="rId149" xr:uid="{3BD1AFE8-1B6E-F24D-958D-50F2ACF46601}"/>
    <hyperlink ref="G24" r:id="rId150" xr:uid="{7A4C60CD-6C7B-EA4B-B022-49BB703D2B72}"/>
    <hyperlink ref="G48" r:id="rId151" xr:uid="{2BF528CA-CC1C-0948-AD80-EC796A97F524}"/>
    <hyperlink ref="G38" r:id="rId152" xr:uid="{97D427EC-B519-4F44-A154-DDAC7F7B4B1D}"/>
    <hyperlink ref="G35" r:id="rId153" xr:uid="{15CB821B-A12A-D245-8FF3-C774AF0EF985}"/>
    <hyperlink ref="G41" r:id="rId154" xr:uid="{81F02A87-5A56-DD4D-A162-25D22AE6F637}"/>
    <hyperlink ref="G14" r:id="rId155" xr:uid="{8243A2F7-95E8-9843-8F47-77DC5032A11B}"/>
    <hyperlink ref="H16" r:id="rId156" xr:uid="{DCFC3546-940E-6247-BD3F-6CE3AB672CC1}"/>
    <hyperlink ref="G17" r:id="rId157" xr:uid="{91864E8A-D133-FE43-ADD7-5A58D2CB20FA}"/>
    <hyperlink ref="G19" r:id="rId158" xr:uid="{AC4AFFC4-AD25-C943-9787-3277C44F8948}"/>
    <hyperlink ref="G31" r:id="rId159" xr:uid="{0F452118-EC88-4444-843C-9F49F7B12940}"/>
    <hyperlink ref="G16" r:id="rId160" xr:uid="{83E7B846-2217-7F4A-842C-9647D58224AD}"/>
    <hyperlink ref="G11" r:id="rId161" xr:uid="{D1763EA3-5653-E74B-AA1D-78F6457E2592}"/>
    <hyperlink ref="H64" r:id="rId162" xr:uid="{BDCC1C0C-7F29-3640-84CA-51BB654DC568}"/>
    <hyperlink ref="H53" r:id="rId163" xr:uid="{2AAC8843-C7E2-A74A-97D3-875E7165F470}"/>
    <hyperlink ref="G53" r:id="rId164" xr:uid="{E7122682-8D70-004D-9F65-FCA657261887}"/>
    <hyperlink ref="G64" r:id="rId165" xr:uid="{76682F1E-9336-4C47-BD9A-FEAF94E135CE}"/>
    <hyperlink ref="G85" r:id="rId166" xr:uid="{F961FD92-7DF9-FE4B-A174-B004E097FB3C}"/>
    <hyperlink ref="G86" r:id="rId167" xr:uid="{BDF3DE3E-1C5B-7149-AC7D-CD43883E3111}"/>
    <hyperlink ref="G87" r:id="rId168" xr:uid="{A8DC42DA-1986-D84E-B8DC-30714547F2DA}"/>
    <hyperlink ref="G88" r:id="rId169" xr:uid="{6364BBFC-2948-8449-A452-02B62A9FC91D}"/>
    <hyperlink ref="G93" r:id="rId170" xr:uid="{3A432886-E53C-544B-8F1C-2E0CD861EBC2}"/>
    <hyperlink ref="G100" r:id="rId171" xr:uid="{5AA3ADC7-D065-A64C-8701-9805F73ADDD8}"/>
    <hyperlink ref="H104" r:id="rId172" xr:uid="{3F61D9E7-A67B-0E42-AED4-2430B4907700}"/>
    <hyperlink ref="H110" r:id="rId173" xr:uid="{B37E6E19-CB47-E440-8F47-3B63F021C842}"/>
    <hyperlink ref="G104" r:id="rId174" xr:uid="{956E0B91-3744-F547-ADE4-8EC5B51F99E5}"/>
    <hyperlink ref="G105" r:id="rId175" xr:uid="{11A06C69-77AC-B548-A835-9EA4159CE12A}"/>
    <hyperlink ref="G94" r:id="rId176" xr:uid="{6D443559-260C-D244-9778-48C36DC8630E}"/>
    <hyperlink ref="G192" r:id="rId177" xr:uid="{EAB6B3DA-D8F7-6E41-945C-7237DB2EBCDC}"/>
    <hyperlink ref="H182" r:id="rId178" xr:uid="{CF366F14-6CAB-3B40-ADF2-E119931DCD69}"/>
    <hyperlink ref="G182" r:id="rId179" xr:uid="{56B2F8F6-E98B-F242-A7C3-C877BC11F811}"/>
    <hyperlink ref="I6" r:id="rId180" xr:uid="{A326DA25-F94A-D64A-A567-D200F7C88218}"/>
    <hyperlink ref="H6" r:id="rId181" xr:uid="{A362477E-DA78-6749-B95E-2E3E70230BB0}"/>
    <hyperlink ref="G6" r:id="rId182" xr:uid="{D82FEEDE-16A0-114D-8938-02C56B2E2132}"/>
    <hyperlink ref="G26" r:id="rId183" xr:uid="{8B0B925D-E5B9-014C-AC2A-15A0386A21C7}"/>
    <hyperlink ref="H25" r:id="rId184" xr:uid="{31023705-9C55-314D-A0EE-4A4EF59163AE}"/>
    <hyperlink ref="H98" r:id="rId185" xr:uid="{30913552-A831-BF4E-A376-53EA8276A4C1}"/>
    <hyperlink ref="G139" r:id="rId186" xr:uid="{143D2E7F-4467-BC4A-B776-183D940C67A0}"/>
    <hyperlink ref="G95" r:id="rId187" xr:uid="{E008165E-9BF3-294D-9646-225ABA669093}"/>
    <hyperlink ref="G98" r:id="rId188" xr:uid="{14F2260D-7AB3-2748-A5C1-7EAFF7AA99C2}"/>
    <hyperlink ref="G177" r:id="rId189" xr:uid="{8ABEFE8A-9748-1042-878D-B8941079EFBF}"/>
    <hyperlink ref="I173" r:id="rId190" xr:uid="{A171A380-4B16-EC47-9F7D-E3BB25539CDC}"/>
    <hyperlink ref="G173" r:id="rId191" xr:uid="{CB7E5DA2-9B29-D343-8D0A-4A3C33E9815A}"/>
    <hyperlink ref="H164" r:id="rId192" xr:uid="{D110B556-EF65-8945-9802-B4CAB0F12434}"/>
    <hyperlink ref="H160" r:id="rId193" xr:uid="{32DC515A-0352-5A4C-BDBE-E6E37BE3C751}"/>
    <hyperlink ref="H173" r:id="rId194" xr:uid="{04EB96DA-40BB-9A42-B756-0777FB055B77}"/>
    <hyperlink ref="G160" r:id="rId195" xr:uid="{0DF0F67F-6499-2C4A-8BE0-2317D01C78AD}"/>
    <hyperlink ref="H153" r:id="rId196" xr:uid="{9F1241AB-B42D-0D42-9E43-B657BA306EEA}"/>
    <hyperlink ref="H149" r:id="rId197" xr:uid="{134F69B8-505F-E34F-8C49-A620CE9E41E4}"/>
    <hyperlink ref="H138" r:id="rId198" xr:uid="{B5B62A8B-0760-AA4A-9D70-06AD3AEEC926}"/>
    <hyperlink ref="G138" r:id="rId199" xr:uid="{173EDCA3-D544-C14B-ADB1-2912ABEAD716}"/>
    <hyperlink ref="H131" r:id="rId200" xr:uid="{32923297-B2B4-6240-AA7F-25299B2FF8F5}"/>
    <hyperlink ref="G131" r:id="rId201" xr:uid="{E4704259-02F6-724E-8142-FE2DCA47EFBC}"/>
    <hyperlink ref="G194" r:id="rId202" xr:uid="{5946D681-A078-0745-95B3-736D5F507255}"/>
    <hyperlink ref="G133" r:id="rId203" xr:uid="{394DFBC4-E7A5-A14E-9905-513226C1B8DC}"/>
    <hyperlink ref="G120" r:id="rId204" xr:uid="{89F8053F-2CFD-7941-B0C1-E59640FCD175}"/>
    <hyperlink ref="G97" r:id="rId205" xr:uid="{479A4A8F-A329-6B42-8436-BC90F5512A51}"/>
    <hyperlink ref="G110" r:id="rId206" xr:uid="{D133C14F-056E-E545-B9B2-2A577E940584}"/>
    <hyperlink ref="G123" r:id="rId207" xr:uid="{E60513B2-922D-9645-A002-91934CED5CEA}"/>
    <hyperlink ref="H195" r:id="rId208" xr:uid="{81316B38-DC86-D34C-9F1E-11F144657926}"/>
    <hyperlink ref="I195" r:id="rId209" xr:uid="{AB6170AC-BE56-E842-AE32-3D9D6396AF6A}"/>
    <hyperlink ref="H179" r:id="rId210" xr:uid="{E6867909-809E-B04B-A905-7F8F4CDFD0C2}"/>
    <hyperlink ref="G195" r:id="rId211" xr:uid="{8274FB2E-BB0F-214F-B008-ECA9CAEA85EC}"/>
    <hyperlink ref="G179" r:id="rId212" xr:uid="{963158A4-6496-0A4C-9BEA-BA84F1913321}"/>
    <hyperlink ref="G178" r:id="rId213" xr:uid="{3705A2DE-CED7-D04F-A5E2-654841AC45F0}"/>
    <hyperlink ref="I175" r:id="rId214" xr:uid="{F632F3AE-0C75-AA4B-83FD-E2D5D70BC6E4}"/>
    <hyperlink ref="I183" r:id="rId215" xr:uid="{1DB70974-8101-A541-B6EB-D01B76185BF2}"/>
    <hyperlink ref="P6" r:id="rId216" xr:uid="{63DA723A-EB4C-514B-85F3-8DDF42BDC0AF}"/>
    <hyperlink ref="P82" r:id="rId217" xr:uid="{EF6EBA8D-A487-BD44-A1B7-4CB873D518EB}"/>
    <hyperlink ref="P84" r:id="rId218" xr:uid="{63B95122-EDC2-2049-B05E-B1E0A9F891BD}"/>
    <hyperlink ref="P57" r:id="rId219" xr:uid="{8B2673D8-D74E-8341-BDAC-B76EA8FA4D9B}"/>
    <hyperlink ref="P44" r:id="rId220" xr:uid="{E7220F98-F5C3-B344-9CD2-C70949F1B77A}"/>
    <hyperlink ref="P30" r:id="rId221" xr:uid="{E9C69401-764E-8A45-9559-0ABBE0AE800C}"/>
    <hyperlink ref="K129" r:id="rId222" xr:uid="{EB8E6EB3-D0F4-7D4A-8C4E-634C2F3D59A9}"/>
    <hyperlink ref="H130" r:id="rId223" xr:uid="{33F40354-9020-BC41-869F-A29975960E87}"/>
    <hyperlink ref="H129" r:id="rId224" xr:uid="{75E8D3B4-4AC3-B344-8FA1-639346048D63}"/>
    <hyperlink ref="J129" r:id="rId225" xr:uid="{55F19628-90AF-1A41-BEED-97399E9AD46E}"/>
    <hyperlink ref="I126" r:id="rId226" xr:uid="{34962225-7D83-3841-8F73-BB26DE843F4F}"/>
    <hyperlink ref="H126" r:id="rId227" xr:uid="{89014B61-D98D-4E4D-8AED-0B53C1FD1B9C}"/>
    <hyperlink ref="H15" r:id="rId228" xr:uid="{51CAC63E-B07F-9244-9109-32300DB97C37}"/>
    <hyperlink ref="G15" r:id="rId229" xr:uid="{DA1C2176-7080-0A46-B42A-2E8201C1D921}"/>
    <hyperlink ref="I25" r:id="rId230" xr:uid="{5CC2F505-A99F-C14A-8211-4A3FFC4C8C9B}"/>
    <hyperlink ref="J25" r:id="rId231" xr:uid="{995223EE-A0BF-A748-A07B-8BC81E79E54F}"/>
    <hyperlink ref="G25" r:id="rId232" xr:uid="{B27DBB0F-8D10-4341-BC52-A041D8400A75}"/>
    <hyperlink ref="H33" r:id="rId233" xr:uid="{E679071A-E7F2-6A40-B40F-23C06058D4EE}"/>
    <hyperlink ref="G33" r:id="rId234" xr:uid="{3D2016CC-1034-A24F-B841-9279F3AFDF0A}"/>
    <hyperlink ref="G34" r:id="rId235" xr:uid="{24C56589-D460-1C43-9E04-9DEEFCCF8602}"/>
    <hyperlink ref="H44" r:id="rId236" xr:uid="{A8652518-8165-D649-8820-5ACF0204247A}"/>
    <hyperlink ref="I44" r:id="rId237" xr:uid="{932D9753-8227-5149-BAD9-61EA7AA7A015}"/>
    <hyperlink ref="G44" r:id="rId238" xr:uid="{89129D2C-E1C8-C14D-8ABD-7D74ACB64B46}"/>
    <hyperlink ref="H50" r:id="rId239" xr:uid="{E8C47CE6-81FE-AE44-9610-F8F19C180A04}"/>
    <hyperlink ref="I50" r:id="rId240" xr:uid="{AF1ADBE1-F2BD-C543-8206-5C433B023CF2}"/>
    <hyperlink ref="G50" r:id="rId241" xr:uid="{FDDC1EE7-2FF9-004B-9B90-35897E7DCA78}"/>
    <hyperlink ref="G75" r:id="rId242" xr:uid="{C98F61A5-A18E-7747-8790-973ABC5A1295}"/>
    <hyperlink ref="H75" r:id="rId243" xr:uid="{9A0D20A8-AD3B-614A-8C8D-C4F575F8F391}"/>
    <hyperlink ref="G80" r:id="rId244" xr:uid="{01D7DADC-7659-5F42-A811-24C2F357E5B7}"/>
    <hyperlink ref="H84" r:id="rId245" xr:uid="{6870CE81-B9E5-0C40-9843-6A303EE206E4}"/>
    <hyperlink ref="G84" r:id="rId246" xr:uid="{B39CA2ED-472B-644D-A304-FDFF07E83B6B}"/>
    <hyperlink ref="G79" r:id="rId247" xr:uid="{DD0851AC-43AB-2145-819B-A67D10DE8E5C}"/>
    <hyperlink ref="H90" r:id="rId248" xr:uid="{72798B48-E0E2-114B-BF49-3B036B4F7C07}"/>
    <hyperlink ref="G90" r:id="rId249" xr:uid="{7B535DE6-2FEF-6D49-844A-0CE3771BE4E9}"/>
    <hyperlink ref="G99" r:id="rId250" xr:uid="{D971F893-ABC2-BE43-804C-63C73C7C6DEA}"/>
    <hyperlink ref="H101" r:id="rId251" xr:uid="{B3CADDD9-5200-3A4B-B95B-2E5097FBDF91}"/>
    <hyperlink ref="G101" r:id="rId252" xr:uid="{807EC8B3-AC6E-954B-9509-49BD064FFF3F}"/>
    <hyperlink ref="G117" r:id="rId253" xr:uid="{B81612B4-16FB-C14B-AFB2-6A39E650855A}"/>
    <hyperlink ref="G89" r:id="rId254" xr:uid="{758ABF88-C2EC-2841-8E8B-9E9B17F1EEFE}"/>
    <hyperlink ref="G39" r:id="rId255" xr:uid="{610CD34D-EF5E-A44B-8176-ED184F89E4AB}"/>
    <hyperlink ref="G45" r:id="rId256" xr:uid="{7A9FE5D5-6698-5146-B144-9033E50E3CA7}"/>
    <hyperlink ref="H49" r:id="rId257" xr:uid="{B36B5C70-13F4-4841-A132-46816F957A00}"/>
    <hyperlink ref="G49" r:id="rId258" xr:uid="{7117ED38-049E-8742-87F0-563B142D9B1B}"/>
    <hyperlink ref="H57" r:id="rId259" xr:uid="{CE96AB7A-127D-2D44-9C4B-41108E11DF7A}"/>
    <hyperlink ref="I57" r:id="rId260" xr:uid="{1D46EE7D-5603-7346-A184-67D2F0360D3E}"/>
    <hyperlink ref="G57" r:id="rId261" xr:uid="{E8BDC7CE-0DA8-4A4D-87B8-4C449903D974}"/>
    <hyperlink ref="H91" r:id="rId262" xr:uid="{5A97F539-23CD-9D49-9418-EA6D709FC339}"/>
    <hyperlink ref="I91" r:id="rId263" xr:uid="{0E6787D6-4545-B441-9E09-1DFAA681E124}"/>
    <hyperlink ref="G91" r:id="rId264" xr:uid="{107DB9A9-CC21-D446-A5E4-B9A0662A5B37}"/>
    <hyperlink ref="G92" r:id="rId265" xr:uid="{A75E4DFF-C852-0548-9D58-82D21BD352B4}"/>
    <hyperlink ref="G96" r:id="rId266" xr:uid="{712E41ED-AC2B-984B-B387-61F9CD0F87AA}"/>
    <hyperlink ref="G103" r:id="rId267" xr:uid="{64444872-521E-0E43-8386-4067EFBE08CD}"/>
    <hyperlink ref="G106" r:id="rId268" xr:uid="{37169588-A5A4-3843-B790-7FDC65A79969}"/>
    <hyperlink ref="G109" r:id="rId269" xr:uid="{D1E12A6F-44DB-8B4B-8BD2-65D369937910}"/>
    <hyperlink ref="G115" r:id="rId270" xr:uid="{CFA33BB4-3B2F-174A-841A-598E7C07EF2E}"/>
    <hyperlink ref="H116" r:id="rId271" xr:uid="{90B3419F-12AA-314A-9B15-0C997981664D}"/>
    <hyperlink ref="G116" r:id="rId272" xr:uid="{C3E65649-68EF-4146-B6BD-611655C35E99}"/>
    <hyperlink ref="I118" r:id="rId273" xr:uid="{D093D5BB-059C-3F4C-B352-BE0009ECD2EE}"/>
    <hyperlink ref="H118" r:id="rId274" xr:uid="{D45F9C12-9312-ED4D-B308-C945483E41FB}"/>
    <hyperlink ref="J119" r:id="rId275" xr:uid="{41F05381-1564-0D44-837A-76ABB0E56C2E}"/>
    <hyperlink ref="G118" r:id="rId276" xr:uid="{853F7C30-8864-5E49-8BBC-A407148ACF66}"/>
    <hyperlink ref="I119" r:id="rId277" xr:uid="{919BC5D5-4356-1347-A297-8C5C52E524A3}"/>
    <hyperlink ref="H119" r:id="rId278" xr:uid="{C6AC9C2A-EFBA-9146-8DE4-0D548E373C98}"/>
    <hyperlink ref="G119" r:id="rId279" xr:uid="{E8FA9426-0DE6-424A-B36F-B499426AB208}"/>
    <hyperlink ref="G121" r:id="rId280" xr:uid="{F7AE9858-D352-1E46-90F4-EE82A64EC1E6}"/>
    <hyperlink ref="G172" r:id="rId281" xr:uid="{297D961A-AFE1-DC42-A127-7B6B6124B699}"/>
    <hyperlink ref="G137" r:id="rId282" xr:uid="{6E912476-B273-AD47-B58D-CAA3C5D25DAB}"/>
    <hyperlink ref="G125" r:id="rId283" xr:uid="{6DD8F8E4-6BF8-794B-9291-16F3F07B995D}"/>
    <hyperlink ref="I164" r:id="rId284" xr:uid="{471120D1-9770-964E-A3E3-A4C1E69918D6}"/>
    <hyperlink ref="G146" r:id="rId285" xr:uid="{DFCF4A92-611D-A446-809B-2526EF5D1EA2}"/>
    <hyperlink ref="I144" r:id="rId286" xr:uid="{77436378-6DE0-5A45-A9DE-856AC457E1C9}"/>
    <hyperlink ref="G153" r:id="rId287" xr:uid="{2F41AA5D-ABF8-3342-A8EB-AF9423F04C5D}"/>
    <hyperlink ref="G164" r:id="rId288" xr:uid="{2735F4A2-BDEE-B246-B87A-5146F3C8AAA3}"/>
    <hyperlink ref="G126" r:id="rId289" xr:uid="{012CEC79-81F8-F440-A875-17527CC6F89A}"/>
    <hyperlink ref="I129" r:id="rId290" xr:uid="{5ABD866D-0B92-9448-B05B-093F4431AF6D}"/>
    <hyperlink ref="G129" r:id="rId291" xr:uid="{C2F7AF2F-2CD6-5040-960F-7286FA2E24A3}"/>
    <hyperlink ref="G127" r:id="rId292" xr:uid="{D748283E-D185-F246-A774-8A6279F5352A}"/>
    <hyperlink ref="G128" r:id="rId293" xr:uid="{72ED9BD8-D2CF-334F-BBDC-5279DFC5990C}"/>
    <hyperlink ref="G130" r:id="rId294" xr:uid="{8A75F3EF-ADB6-4B48-B11E-4DC7E351C43C}"/>
    <hyperlink ref="G132" r:id="rId295" xr:uid="{A8F3B08B-C8C6-E543-8FA4-703871E12E9B}"/>
    <hyperlink ref="G134" r:id="rId296" xr:uid="{069E0A23-6EAC-FD4D-B126-D2C7CABB903F}"/>
    <hyperlink ref="G141" r:id="rId297" xr:uid="{C301298F-A15A-1B43-990B-678FF8A11F6D}"/>
    <hyperlink ref="G147" r:id="rId298" xr:uid="{F2EFF28C-43DC-164A-A44C-7D82678EFB84}"/>
    <hyperlink ref="G174" r:id="rId299" xr:uid="{7988D494-2F5C-8443-A53F-DFCDCE415698}"/>
    <hyperlink ref="G149" r:id="rId300" xr:uid="{60AB3707-940A-3A43-AA52-D6303A3EFD1A}"/>
    <hyperlink ref="H155" r:id="rId301" xr:uid="{F93675CE-D51B-944F-91FF-1658F3F0C1C6}"/>
    <hyperlink ref="I152" r:id="rId302" xr:uid="{86187A76-0AED-A94B-A6EC-EA3205A60E32}"/>
    <hyperlink ref="H159" r:id="rId303" xr:uid="{435A59BA-5886-E14B-90B0-676B8F66BC8E}"/>
    <hyperlink ref="G159" r:id="rId304" xr:uid="{F55DF9F6-ACC5-074F-81B8-ED38F266B8BF}"/>
    <hyperlink ref="I161" r:id="rId305" xr:uid="{664B7235-1FD7-FA4F-9C46-96237D53956D}"/>
    <hyperlink ref="G181" r:id="rId306" xr:uid="{3E941C7F-8AF3-9F47-A4F7-7548D99DF07B}"/>
    <hyperlink ref="H183" r:id="rId307" xr:uid="{0E692D07-E86C-CC49-BA9E-2DF97F5A529E}"/>
    <hyperlink ref="G186" r:id="rId308" xr:uid="{9BE32FFF-76A4-5848-9B89-FEEF33BAF757}"/>
    <hyperlink ref="G183" r:id="rId309" xr:uid="{A5B6D3F4-92F8-4448-9A9A-E607AF4D424D}"/>
    <hyperlink ref="H167" r:id="rId310" xr:uid="{2597E850-379D-0947-AE8B-93BCA789E10D}"/>
    <hyperlink ref="G167" r:id="rId311" xr:uid="{AF992CFA-796E-DD41-9938-076A326D3F66}"/>
    <hyperlink ref="G156" r:id="rId312" xr:uid="{5515F49B-8DBD-964F-8D00-27624DD0140E}"/>
    <hyperlink ref="H144" r:id="rId313" xr:uid="{C8697E71-A23B-0843-8DB6-DE3D4FB63498}"/>
    <hyperlink ref="G144" r:id="rId314" xr:uid="{4013A34B-0B75-6241-8A1F-0F6A15DC8A7F}"/>
    <hyperlink ref="G145" r:id="rId315" xr:uid="{44131ED0-BD4C-3B41-9560-F6AF6BBD8B66}"/>
    <hyperlink ref="G151" r:id="rId316" xr:uid="{06BF90E2-AA11-154A-8497-AF64500A09E0}"/>
    <hyperlink ref="G169" r:id="rId317" xr:uid="{71B30BDC-3047-4548-8C8C-5BC042CEFC2E}"/>
    <hyperlink ref="G150" r:id="rId318" xr:uid="{3D2BA729-C96F-5E4B-BDDA-892525A4D309}"/>
    <hyperlink ref="H152" r:id="rId319" xr:uid="{F5938336-84FC-5B4E-8071-A4870CDC1184}"/>
    <hyperlink ref="I155" r:id="rId320" xr:uid="{AFACC3B0-9D17-8448-8B99-84C1CCEB90B8}"/>
    <hyperlink ref="G152" r:id="rId321" xr:uid="{23D0F184-45A7-7943-8F28-E32B774DB389}"/>
    <hyperlink ref="G155" r:id="rId322" xr:uid="{09EBCE6F-5A7B-B743-8AE6-E09C156B2C17}"/>
    <hyperlink ref="G158" r:id="rId323" xr:uid="{5785711F-E27F-BE42-9FF6-CB8E04B8617E}"/>
    <hyperlink ref="G157" r:id="rId324" xr:uid="{E5F6AD58-BFB4-2A41-B7FA-9953DB50DBA6}"/>
    <hyperlink ref="P33" r:id="rId325" xr:uid="{8246FAD5-9818-C149-BC8F-F0217E497CD4}"/>
    <hyperlink ref="H175" r:id="rId326" xr:uid="{F1DE6E66-D4DA-AA41-B6AC-EA8EAE8B90BE}"/>
    <hyperlink ref="H161" r:id="rId327" xr:uid="{4555A8C5-AD4D-B14E-A61D-90F0B8F41369}"/>
    <hyperlink ref="G161" r:id="rId328" xr:uid="{F422518D-255D-1B4D-AF2B-E1D733A7B758}"/>
    <hyperlink ref="G175" r:id="rId329" xr:uid="{23D43483-173E-8B43-A5EB-D9BC24F0B7D9}"/>
    <hyperlink ref="I176" r:id="rId330" xr:uid="{42760104-8927-E940-BB4C-BDFCFF92D27A}"/>
    <hyperlink ref="H176" r:id="rId331" xr:uid="{E1608DE5-B646-6E4D-A3FB-06B552FE3EE4}"/>
    <hyperlink ref="G176" r:id="rId332" xr:uid="{6D28C854-2DE5-8743-8946-D5539F069B4B}"/>
    <hyperlink ref="Q54" r:id="rId333" xr:uid="{BD630773-ED82-DF47-8A64-650DC3639E81}"/>
    <hyperlink ref="P54" r:id="rId334" location="bib95" display="https://elifesciences.org/articles/44907 - bib95" xr:uid="{F33C930A-0709-264F-9920-57CF91DAA2E9}"/>
    <hyperlink ref="P51" r:id="rId335" xr:uid="{19F248AB-F157-2544-924E-2B07931A3FED}"/>
    <hyperlink ref="P49" r:id="rId336" xr:uid="{419F9BA1-8460-B342-A4F1-570469DB9072}"/>
    <hyperlink ref="P38" r:id="rId337" xr:uid="{15765DAA-8620-1B4F-B408-A39FDE5592E5}"/>
    <hyperlink ref="P17" r:id="rId338" xr:uid="{E90119D6-434E-2746-9D78-66AEDD2580D2}"/>
    <hyperlink ref="P16" r:id="rId339" xr:uid="{E17351AA-A62A-3647-BCE3-64E25BF37AB8}"/>
    <hyperlink ref="P47" r:id="rId340" display="EOL iD - " xr:uid="{B5F0A418-6BC9-6F44-8503-65C71E2DC94C}"/>
    <hyperlink ref="P40" r:id="rId341" xr:uid="{4D0C9B5E-B7FF-B84F-A9B3-5A57B746FB8D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1F96-2F0F-6D43-B477-94A1FB7C231E}">
  <dimension ref="A1:I1002"/>
  <sheetViews>
    <sheetView zoomScale="138" workbookViewId="0">
      <selection activeCell="G12" sqref="G12"/>
    </sheetView>
  </sheetViews>
  <sheetFormatPr baseColWidth="10" defaultRowHeight="16" x14ac:dyDescent="0.2"/>
  <cols>
    <col min="1" max="1" width="35.6640625" customWidth="1"/>
    <col min="2" max="2" width="31.83203125" customWidth="1"/>
    <col min="3" max="3" width="29.6640625" customWidth="1"/>
    <col min="4" max="4" width="14.1640625" customWidth="1"/>
    <col min="5" max="5" width="12.83203125" customWidth="1"/>
    <col min="6" max="6" width="12" customWidth="1"/>
    <col min="8" max="8" width="15.83203125" customWidth="1"/>
    <col min="9" max="9" width="22.33203125" customWidth="1"/>
  </cols>
  <sheetData>
    <row r="1" spans="1:9" s="8" customFormat="1" x14ac:dyDescent="0.2">
      <c r="A1" s="9" t="s">
        <v>424</v>
      </c>
      <c r="B1" s="9" t="s">
        <v>487</v>
      </c>
      <c r="C1" s="9" t="s">
        <v>6</v>
      </c>
      <c r="D1" s="9" t="s">
        <v>426</v>
      </c>
      <c r="E1" s="9" t="s">
        <v>427</v>
      </c>
      <c r="F1" s="9" t="s">
        <v>428</v>
      </c>
      <c r="G1" s="9" t="s">
        <v>429</v>
      </c>
      <c r="H1" s="9" t="s">
        <v>439</v>
      </c>
      <c r="I1" s="9" t="s">
        <v>525</v>
      </c>
    </row>
    <row r="2" spans="1:9" x14ac:dyDescent="0.2">
      <c r="A2" s="1" t="s">
        <v>430</v>
      </c>
      <c r="B2" s="1" t="s">
        <v>440</v>
      </c>
      <c r="C2" s="7" t="s">
        <v>467</v>
      </c>
      <c r="D2" s="3">
        <v>1.8E-5</v>
      </c>
      <c r="E2" s="1"/>
      <c r="F2" s="3">
        <v>1E-8</v>
      </c>
      <c r="G2" s="3">
        <v>5.5599999999999996E-4</v>
      </c>
      <c r="H2" s="3">
        <v>1.8E-7</v>
      </c>
    </row>
    <row r="3" spans="1:9" x14ac:dyDescent="0.2">
      <c r="A3" s="1" t="s">
        <v>431</v>
      </c>
      <c r="B3" s="1" t="s">
        <v>440</v>
      </c>
      <c r="C3" s="7" t="s">
        <v>468</v>
      </c>
      <c r="D3" s="3">
        <v>8.3999999999999992E-6</v>
      </c>
      <c r="E3" s="1"/>
      <c r="F3" s="3">
        <v>2.9999999999999999E-7</v>
      </c>
      <c r="G3" s="3">
        <v>3.5700000000000003E-2</v>
      </c>
      <c r="H3" s="3">
        <v>2.52E-6</v>
      </c>
    </row>
    <row r="4" spans="1:9" x14ac:dyDescent="0.2">
      <c r="A4" s="4" t="s">
        <v>432</v>
      </c>
      <c r="B4" s="1" t="s">
        <v>440</v>
      </c>
      <c r="C4" s="7" t="s">
        <v>469</v>
      </c>
      <c r="D4" s="3">
        <v>6.0000000000000002E-6</v>
      </c>
      <c r="E4" s="1"/>
      <c r="F4" s="3">
        <v>1.5E-6</v>
      </c>
      <c r="G4" s="3">
        <v>0.25</v>
      </c>
      <c r="H4" s="3">
        <v>9.0000000000000002E-6</v>
      </c>
    </row>
    <row r="5" spans="1:9" x14ac:dyDescent="0.2">
      <c r="A5" s="1" t="s">
        <v>433</v>
      </c>
      <c r="B5" s="1" t="s">
        <v>440</v>
      </c>
      <c r="C5" s="7" t="s">
        <v>466</v>
      </c>
      <c r="D5" s="3">
        <v>1.9999999999999999E-6</v>
      </c>
      <c r="E5" s="3">
        <v>1.9999999999999999E-6</v>
      </c>
      <c r="F5" s="3">
        <v>2.5000000000000001E-4</v>
      </c>
      <c r="G5" s="3">
        <v>125</v>
      </c>
      <c r="H5" s="3">
        <v>5.0000000000000001E-4</v>
      </c>
      <c r="I5" s="1"/>
    </row>
    <row r="6" spans="1:9" x14ac:dyDescent="0.2">
      <c r="A6" s="4" t="s">
        <v>465</v>
      </c>
      <c r="B6" s="1" t="s">
        <v>322</v>
      </c>
      <c r="C6" s="7" t="s">
        <v>470</v>
      </c>
      <c r="D6" s="3">
        <v>1.9999999999999999E-6</v>
      </c>
      <c r="E6" s="1"/>
      <c r="F6" s="3">
        <v>3.0000000000000001E-5</v>
      </c>
      <c r="G6" s="3">
        <v>15</v>
      </c>
      <c r="H6" s="3">
        <v>6.0000000000000002E-5</v>
      </c>
      <c r="I6" s="1"/>
    </row>
    <row r="7" spans="1:9" x14ac:dyDescent="0.2">
      <c r="A7" s="1" t="s">
        <v>295</v>
      </c>
      <c r="B7" s="1" t="s">
        <v>322</v>
      </c>
      <c r="C7" s="32" t="s">
        <v>336</v>
      </c>
      <c r="D7" s="3">
        <v>1.0000000000000001E-5</v>
      </c>
      <c r="E7" s="3">
        <v>5.0000000000000004E-6</v>
      </c>
      <c r="F7" s="3">
        <v>2.9999999999999997E-4</v>
      </c>
      <c r="G7" s="3">
        <v>30</v>
      </c>
      <c r="H7" s="3">
        <v>3.0000000000000001E-3</v>
      </c>
      <c r="I7" s="3">
        <v>0.05</v>
      </c>
    </row>
    <row r="8" spans="1:9" x14ac:dyDescent="0.2">
      <c r="A8" s="4" t="s">
        <v>59</v>
      </c>
      <c r="B8" s="1" t="s">
        <v>443</v>
      </c>
      <c r="C8" s="32" t="s">
        <v>27</v>
      </c>
      <c r="D8" s="3">
        <v>2.4399999999999999E-4</v>
      </c>
      <c r="E8" s="1"/>
      <c r="F8" s="3">
        <v>1.65E-3</v>
      </c>
      <c r="G8" s="3">
        <v>6.76</v>
      </c>
      <c r="H8" s="3">
        <v>0.40300000000000002</v>
      </c>
      <c r="I8" s="1"/>
    </row>
    <row r="9" spans="1:9" x14ac:dyDescent="0.2">
      <c r="A9" s="4" t="s">
        <v>434</v>
      </c>
      <c r="B9" s="1" t="s">
        <v>443</v>
      </c>
      <c r="C9" s="32" t="s">
        <v>73</v>
      </c>
      <c r="D9" s="3">
        <v>4.6699999999999997E-5</v>
      </c>
      <c r="E9" s="1"/>
      <c r="F9" s="3">
        <v>2.05E-4</v>
      </c>
      <c r="G9" s="3">
        <v>4.38</v>
      </c>
      <c r="H9" s="3">
        <v>9.5499999999999995E-3</v>
      </c>
      <c r="I9" s="1"/>
    </row>
    <row r="10" spans="1:9" x14ac:dyDescent="0.2">
      <c r="A10" s="1" t="s">
        <v>435</v>
      </c>
      <c r="B10" s="1" t="s">
        <v>443</v>
      </c>
      <c r="C10" s="7" t="s">
        <v>464</v>
      </c>
      <c r="D10" s="3">
        <v>4.0000000000000003E-5</v>
      </c>
      <c r="E10" s="1"/>
      <c r="F10" s="3">
        <v>1.5E-3</v>
      </c>
      <c r="G10" s="3">
        <v>37.5</v>
      </c>
      <c r="H10" s="3">
        <v>0.06</v>
      </c>
      <c r="I10" s="3">
        <v>1</v>
      </c>
    </row>
    <row r="11" spans="1:9" x14ac:dyDescent="0.2">
      <c r="A11" s="4" t="s">
        <v>46</v>
      </c>
      <c r="B11" s="1" t="s">
        <v>292</v>
      </c>
      <c r="C11" s="1" t="s">
        <v>492</v>
      </c>
      <c r="D11" s="3">
        <v>2.0000000000000002E-5</v>
      </c>
      <c r="E11" s="3">
        <v>2.0000000000000002E-5</v>
      </c>
      <c r="F11" s="3">
        <v>1.5E-3</v>
      </c>
      <c r="G11" s="3">
        <v>75</v>
      </c>
      <c r="H11" s="3">
        <v>0.03</v>
      </c>
      <c r="I11" s="3">
        <v>0.1</v>
      </c>
    </row>
    <row r="12" spans="1:9" x14ac:dyDescent="0.2">
      <c r="A12" s="4" t="s">
        <v>8</v>
      </c>
      <c r="B12" s="1" t="s">
        <v>292</v>
      </c>
      <c r="C12" s="32" t="s">
        <v>369</v>
      </c>
      <c r="D12" s="3">
        <v>3.8000000000000002E-5</v>
      </c>
      <c r="E12" s="1"/>
      <c r="F12" s="3">
        <v>7.3499999999999998E-3</v>
      </c>
      <c r="G12" s="3">
        <v>193</v>
      </c>
      <c r="H12" s="3">
        <v>0.27900000000000003</v>
      </c>
      <c r="I12" s="1"/>
    </row>
    <row r="13" spans="1:9" ht="15" customHeight="1" x14ac:dyDescent="0.2">
      <c r="A13" s="1" t="s">
        <v>450</v>
      </c>
      <c r="B13" s="1" t="s">
        <v>292</v>
      </c>
      <c r="C13" s="32" t="s">
        <v>338</v>
      </c>
      <c r="D13" s="3">
        <v>7.64E-5</v>
      </c>
      <c r="E13" s="1"/>
      <c r="F13" s="3">
        <v>2.76E-2</v>
      </c>
      <c r="G13" s="3">
        <v>361</v>
      </c>
      <c r="H13" s="3">
        <v>2.11</v>
      </c>
      <c r="I13" s="3">
        <v>8.8999999999999995E-4</v>
      </c>
    </row>
    <row r="14" spans="1:9" ht="15" customHeight="1" x14ac:dyDescent="0.2">
      <c r="A14" s="1" t="s">
        <v>526</v>
      </c>
      <c r="B14" s="1" t="s">
        <v>291</v>
      </c>
      <c r="C14" s="32" t="s">
        <v>338</v>
      </c>
      <c r="D14" s="3">
        <v>8.2999999999999998E-5</v>
      </c>
      <c r="E14" s="1"/>
      <c r="F14" s="3">
        <v>5.4800000000000001E-2</v>
      </c>
      <c r="G14" s="3">
        <v>660</v>
      </c>
      <c r="H14" s="3">
        <v>4.55</v>
      </c>
      <c r="I14" s="3">
        <v>0.01</v>
      </c>
    </row>
    <row r="15" spans="1:9" ht="16" customHeight="1" x14ac:dyDescent="0.2">
      <c r="A15" s="1" t="s">
        <v>451</v>
      </c>
      <c r="B15" s="1" t="s">
        <v>291</v>
      </c>
      <c r="C15" s="32" t="s">
        <v>338</v>
      </c>
      <c r="D15" s="3">
        <v>6.05E-5</v>
      </c>
      <c r="E15" s="3">
        <v>6.05E-5</v>
      </c>
      <c r="F15" s="3">
        <v>8.8200000000000001E-2</v>
      </c>
      <c r="G15" s="3">
        <v>1460</v>
      </c>
      <c r="H15" s="3">
        <v>5.34</v>
      </c>
      <c r="I15" s="3">
        <v>4.0000000000000001E-3</v>
      </c>
    </row>
    <row r="16" spans="1:9" x14ac:dyDescent="0.2">
      <c r="A16" s="1" t="s">
        <v>452</v>
      </c>
      <c r="B16" s="1" t="s">
        <v>291</v>
      </c>
      <c r="C16" s="7" t="s">
        <v>458</v>
      </c>
      <c r="D16" s="3">
        <v>4.4000000000000002E-4</v>
      </c>
      <c r="E16" s="3">
        <v>5.0000000000000002E-5</v>
      </c>
      <c r="F16" s="3">
        <v>0.11</v>
      </c>
      <c r="G16" s="3">
        <v>250</v>
      </c>
      <c r="H16" s="3">
        <v>48.4</v>
      </c>
      <c r="I16" s="3">
        <v>2E-3</v>
      </c>
    </row>
    <row r="17" spans="1:9" x14ac:dyDescent="0.2">
      <c r="A17" s="4" t="s">
        <v>109</v>
      </c>
      <c r="B17" s="1" t="s">
        <v>442</v>
      </c>
      <c r="C17" s="7" t="s">
        <v>463</v>
      </c>
      <c r="D17" s="3">
        <v>1E-3</v>
      </c>
      <c r="E17" s="3">
        <v>1E-4</v>
      </c>
      <c r="F17" s="1">
        <v>0.2</v>
      </c>
      <c r="G17" s="3">
        <v>200</v>
      </c>
      <c r="H17" s="3">
        <v>200</v>
      </c>
      <c r="I17" s="3">
        <v>5.0000000000000001E-3</v>
      </c>
    </row>
    <row r="18" spans="1:9" x14ac:dyDescent="0.2">
      <c r="A18" s="4" t="s">
        <v>436</v>
      </c>
      <c r="B18" s="1" t="s">
        <v>442</v>
      </c>
      <c r="C18" s="7" t="s">
        <v>456</v>
      </c>
      <c r="D18" s="3">
        <v>2.5000000000000001E-4</v>
      </c>
      <c r="E18" s="3">
        <v>2.5000000000000001E-5</v>
      </c>
      <c r="F18" s="3">
        <v>8.7999999999999995E-2</v>
      </c>
      <c r="G18" s="3">
        <v>352</v>
      </c>
      <c r="H18" s="3">
        <v>22</v>
      </c>
      <c r="I18" s="3">
        <v>5.0000000000000001E-3</v>
      </c>
    </row>
    <row r="19" spans="1:9" x14ac:dyDescent="0.2">
      <c r="A19" s="4" t="s">
        <v>437</v>
      </c>
      <c r="B19" s="1" t="s">
        <v>442</v>
      </c>
      <c r="C19" s="7" t="s">
        <v>457</v>
      </c>
      <c r="D19" s="3">
        <v>1E-3</v>
      </c>
      <c r="E19" s="1"/>
      <c r="F19" s="1">
        <v>0.2</v>
      </c>
      <c r="G19" s="3">
        <v>200</v>
      </c>
      <c r="H19" s="3">
        <v>200</v>
      </c>
      <c r="I19" s="3">
        <v>7.0000000000000001E-3</v>
      </c>
    </row>
    <row r="20" spans="1:9" x14ac:dyDescent="0.2">
      <c r="A20" s="1" t="s">
        <v>453</v>
      </c>
      <c r="B20" s="1" t="s">
        <v>442</v>
      </c>
      <c r="C20" s="7" t="s">
        <v>459</v>
      </c>
      <c r="D20" s="3">
        <v>1E-4</v>
      </c>
      <c r="E20" s="1"/>
      <c r="F20" s="3">
        <v>3.3000000000000002E-2</v>
      </c>
      <c r="G20" s="3">
        <v>330</v>
      </c>
      <c r="H20" s="3">
        <v>3.3</v>
      </c>
      <c r="I20" s="3">
        <v>1.6E-2</v>
      </c>
    </row>
    <row r="21" spans="1:9" x14ac:dyDescent="0.2">
      <c r="A21" s="1" t="s">
        <v>460</v>
      </c>
      <c r="B21" s="1" t="s">
        <v>442</v>
      </c>
      <c r="C21" s="7" t="s">
        <v>462</v>
      </c>
      <c r="D21" s="3">
        <v>1.4999999999999999E-4</v>
      </c>
      <c r="E21" s="1"/>
      <c r="F21" s="3">
        <v>0.1</v>
      </c>
      <c r="G21" s="3">
        <v>667</v>
      </c>
      <c r="H21" s="3">
        <v>15</v>
      </c>
      <c r="I21" s="3">
        <v>2E-3</v>
      </c>
    </row>
    <row r="22" spans="1:9" x14ac:dyDescent="0.2">
      <c r="A22" s="1" t="s">
        <v>461</v>
      </c>
      <c r="B22" s="1" t="s">
        <v>442</v>
      </c>
      <c r="C22" s="7" t="s">
        <v>455</v>
      </c>
      <c r="D22" s="3">
        <v>1.2999999999999999E-4</v>
      </c>
      <c r="E22" s="1"/>
      <c r="F22" s="3">
        <v>3.3E-3</v>
      </c>
      <c r="G22" s="3">
        <v>25.4</v>
      </c>
      <c r="H22" s="3">
        <v>0.42899999999999999</v>
      </c>
      <c r="I22" s="3">
        <v>0.1</v>
      </c>
    </row>
    <row r="23" spans="1:9" x14ac:dyDescent="0.2">
      <c r="A23" s="1" t="s">
        <v>449</v>
      </c>
      <c r="B23" s="1" t="s">
        <v>441</v>
      </c>
      <c r="C23" s="7" t="s">
        <v>483</v>
      </c>
      <c r="D23" s="3">
        <v>3.0000000000000001E-6</v>
      </c>
      <c r="E23" s="1"/>
      <c r="F23" s="3">
        <v>0.01</v>
      </c>
      <c r="G23" s="3">
        <v>3330</v>
      </c>
      <c r="H23" s="3">
        <v>0.03</v>
      </c>
      <c r="I23" s="3">
        <v>1E-3</v>
      </c>
    </row>
    <row r="24" spans="1:9" x14ac:dyDescent="0.2">
      <c r="A24" s="1" t="s">
        <v>438</v>
      </c>
      <c r="B24" s="1" t="s">
        <v>441</v>
      </c>
      <c r="C24" s="7" t="s">
        <v>445</v>
      </c>
      <c r="D24" s="3">
        <v>1.5E-5</v>
      </c>
      <c r="E24" s="1"/>
      <c r="F24" s="1">
        <v>37.1</v>
      </c>
      <c r="G24" s="3">
        <v>2470000</v>
      </c>
      <c r="H24" s="3">
        <v>557</v>
      </c>
      <c r="I24" s="3">
        <v>6.9999999999999997E-7</v>
      </c>
    </row>
    <row r="25" spans="1:9" x14ac:dyDescent="0.2">
      <c r="A25" s="1" t="s">
        <v>446</v>
      </c>
      <c r="B25" s="1" t="s">
        <v>441</v>
      </c>
      <c r="C25" s="7" t="s">
        <v>454</v>
      </c>
      <c r="D25" s="3">
        <v>3.0000000000000001E-6</v>
      </c>
      <c r="E25" s="1"/>
      <c r="F25" s="3">
        <v>2.9999999999999997E-4</v>
      </c>
      <c r="G25" s="3">
        <v>100</v>
      </c>
      <c r="H25" s="3">
        <v>8.9999999999999998E-4</v>
      </c>
      <c r="I25" s="3">
        <v>0.6</v>
      </c>
    </row>
    <row r="26" spans="1:9" x14ac:dyDescent="0.2">
      <c r="A26" s="1" t="s">
        <v>447</v>
      </c>
      <c r="B26" s="1" t="s">
        <v>441</v>
      </c>
      <c r="C26" s="7" t="s">
        <v>444</v>
      </c>
      <c r="D26" s="3">
        <v>9.9999999999999995E-7</v>
      </c>
      <c r="E26" s="1"/>
      <c r="F26" s="1">
        <v>260</v>
      </c>
      <c r="G26" s="3">
        <v>260000000</v>
      </c>
      <c r="H26" s="3">
        <v>260</v>
      </c>
    </row>
    <row r="27" spans="1:9" x14ac:dyDescent="0.2">
      <c r="A27" s="1" t="s">
        <v>448</v>
      </c>
      <c r="B27" s="1" t="s">
        <v>441</v>
      </c>
      <c r="C27" s="7" t="s">
        <v>444</v>
      </c>
      <c r="D27" s="3">
        <v>1.4E-5</v>
      </c>
      <c r="E27" s="1"/>
      <c r="F27" s="1">
        <v>0.45</v>
      </c>
      <c r="G27" s="3">
        <v>32100</v>
      </c>
      <c r="H27" s="3">
        <v>6.3</v>
      </c>
    </row>
    <row r="28" spans="1:9" x14ac:dyDescent="0.2">
      <c r="A28" s="1"/>
      <c r="B28" s="1"/>
      <c r="C28" s="1"/>
      <c r="D28" s="1"/>
      <c r="E28" s="1"/>
      <c r="F28" s="1"/>
      <c r="G28" s="1"/>
      <c r="H28" s="1"/>
    </row>
    <row r="29" spans="1:9" x14ac:dyDescent="0.2">
      <c r="A29" s="1"/>
      <c r="B29" s="1"/>
      <c r="C29" s="1"/>
      <c r="D29" s="1"/>
      <c r="E29" s="1"/>
      <c r="F29" s="1"/>
      <c r="G29" s="1"/>
      <c r="H29" s="1"/>
    </row>
    <row r="30" spans="1:9" x14ac:dyDescent="0.2">
      <c r="A30" s="1"/>
      <c r="B30" s="1"/>
      <c r="C30" s="1"/>
      <c r="D30" s="1"/>
      <c r="E30" s="1"/>
      <c r="F30" s="1"/>
      <c r="G30" s="1"/>
      <c r="H30" s="1"/>
    </row>
    <row r="31" spans="1:9" x14ac:dyDescent="0.2">
      <c r="A31" s="1"/>
      <c r="B31" s="1"/>
      <c r="C31" s="1"/>
      <c r="D31" s="1"/>
      <c r="E31" s="1"/>
      <c r="F31" s="1"/>
      <c r="G31" s="1"/>
      <c r="H31" s="1"/>
    </row>
    <row r="32" spans="1:9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  <row r="1000" spans="1:8" x14ac:dyDescent="0.2">
      <c r="A1000" s="1"/>
      <c r="B1000" s="1"/>
      <c r="C1000" s="1"/>
      <c r="D1000" s="1"/>
      <c r="E1000" s="1"/>
      <c r="F1000" s="1"/>
      <c r="G1000" s="1"/>
      <c r="H1000" s="1"/>
    </row>
    <row r="1001" spans="1:8" x14ac:dyDescent="0.2">
      <c r="A1001" s="1"/>
      <c r="B1001" s="1"/>
      <c r="C1001" s="1"/>
      <c r="D1001" s="1"/>
      <c r="E1001" s="1"/>
      <c r="F1001" s="1"/>
      <c r="G1001" s="1"/>
      <c r="H1001" s="1"/>
    </row>
    <row r="1002" spans="1:8" x14ac:dyDescent="0.2">
      <c r="A1002" s="1"/>
      <c r="B1002" s="1"/>
      <c r="C1002" s="1"/>
      <c r="D1002" s="1"/>
      <c r="E1002" s="1"/>
      <c r="F1002" s="1"/>
      <c r="G1002" s="1"/>
      <c r="H1002" s="1"/>
    </row>
  </sheetData>
  <hyperlinks>
    <hyperlink ref="C26" r:id="rId1" xr:uid="{5337E291-E4E3-0340-9609-60A1AF56AF90}"/>
    <hyperlink ref="C27" r:id="rId2" xr:uid="{D9A0485F-B80F-9E4A-8F47-A0BA25D0793C}"/>
    <hyperlink ref="C24" r:id="rId3" xr:uid="{BE648008-970E-9F46-B922-F21E3E58EA47}"/>
    <hyperlink ref="C25" r:id="rId4" xr:uid="{8E5149C3-9342-0246-8E82-502D706E1C80}"/>
    <hyperlink ref="C22" r:id="rId5" xr:uid="{EEF2AEB0-6D3C-A647-AB7B-5DE0C27AD2A7}"/>
    <hyperlink ref="C18" r:id="rId6" xr:uid="{8F5E0354-BEF4-B241-9F5E-A22C29D31BB7}"/>
    <hyperlink ref="C19" r:id="rId7" xr:uid="{7E560A49-760D-924C-87CF-C8A2CD44D4BF}"/>
    <hyperlink ref="C16" r:id="rId8" xr:uid="{6F01EBF7-FF4C-4D45-8DA0-0C7F2E829693}"/>
    <hyperlink ref="C20" r:id="rId9" xr:uid="{ADCA523B-F85D-9345-934E-888CFBAF14E4}"/>
    <hyperlink ref="C13" r:id="rId10" display="(Gemmell, Jiang and Buskey 2015)" xr:uid="{A724E785-A236-6C40-9883-EBD3409D45D9}"/>
    <hyperlink ref="C21" r:id="rId11" xr:uid="{90F8B7FA-CF07-D54A-B7AB-575C2116C80E}"/>
    <hyperlink ref="C7" r:id="rId12" xr:uid="{F898F61C-7FF0-C745-BF54-9EA0F1628F7C}"/>
    <hyperlink ref="C17" r:id="rId13" xr:uid="{DD1BEB88-046C-C344-A76D-2A9B3345FCBA}"/>
    <hyperlink ref="C12" r:id="rId14" xr:uid="{E7FE43EA-9900-9647-A6A7-1FA918D60C9F}"/>
    <hyperlink ref="C10" r:id="rId15" xr:uid="{188E7C49-3ED9-064C-AC86-07FA147655EF}"/>
    <hyperlink ref="C9" r:id="rId16" location="bib95" display="https://elifesciences.org/articles/44907 - bib95" xr:uid="{3F9DDE24-E7F6-284F-A373-DB06EAD6B4F2}"/>
    <hyperlink ref="C8" r:id="rId17" xr:uid="{2700F570-2334-8444-9D1C-25190E0A95CA}"/>
    <hyperlink ref="C5" r:id="rId18" xr:uid="{8127D643-D618-FC43-96E2-7158721470AE}"/>
    <hyperlink ref="C2" r:id="rId19" xr:uid="{88DBEA00-8F1F-E944-825B-57822FD4CA73}"/>
    <hyperlink ref="C3" r:id="rId20" xr:uid="{E0185557-C6D7-1941-83CD-25DE23987475}"/>
    <hyperlink ref="C4" r:id="rId21" xr:uid="{64C0EFA3-2B5B-B143-9F24-7FD2CB636CDF}"/>
    <hyperlink ref="C6" r:id="rId22" xr:uid="{26DA43BF-2E4B-B44C-BD84-D0578D151959}"/>
    <hyperlink ref="C23" r:id="rId23" xr:uid="{94399F9C-9135-1E42-B1C3-3C7A9A941ADB}"/>
    <hyperlink ref="C14" r:id="rId24" display="(Gemmell, Jiang and Buskey 2015)" xr:uid="{542996E9-CD7E-DA4C-B2C7-303350347EC1}"/>
    <hyperlink ref="C15" r:id="rId25" display="(Gemmell, Jiang and Buskey 2015)" xr:uid="{606E72AF-32FC-764B-A19E-44CBD32578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824E-DA04-3A4B-9ED2-EB84BA986DBD}">
  <dimension ref="A1:X29"/>
  <sheetViews>
    <sheetView tabSelected="1" zoomScale="125" workbookViewId="0">
      <pane xSplit="1" topLeftCell="B1" activePane="topRight" state="frozen"/>
      <selection pane="topRight" activeCell="B24" sqref="B24"/>
    </sheetView>
  </sheetViews>
  <sheetFormatPr baseColWidth="10" defaultRowHeight="16" x14ac:dyDescent="0.2"/>
  <cols>
    <col min="1" max="1" width="33.6640625" style="1" customWidth="1"/>
    <col min="2" max="2" width="18.6640625" style="1" customWidth="1"/>
    <col min="3" max="3" width="19.5" style="1" customWidth="1"/>
    <col min="4" max="4" width="11" customWidth="1"/>
    <col min="5" max="8" width="10.83203125" style="1" customWidth="1"/>
    <col min="9" max="9" width="13.5" style="1" customWidth="1"/>
    <col min="10" max="10" width="12.5" style="1" customWidth="1"/>
    <col min="11" max="11" width="11" style="64" customWidth="1"/>
    <col min="12" max="13" width="14" style="64" customWidth="1"/>
    <col min="14" max="15" width="10.83203125" style="64" customWidth="1"/>
    <col min="16" max="17" width="14.33203125" style="64" customWidth="1"/>
    <col min="18" max="18" width="12.1640625" style="69" customWidth="1"/>
    <col min="19" max="19" width="14.5" style="70" customWidth="1"/>
    <col min="20" max="20" width="12.5" style="1" customWidth="1"/>
    <col min="21" max="21" width="15.83203125" style="1" customWidth="1"/>
    <col min="22" max="16384" width="10.83203125" style="1"/>
  </cols>
  <sheetData>
    <row r="1" spans="1:24" s="55" customFormat="1" ht="42" x14ac:dyDescent="0.15">
      <c r="A1" s="55" t="s">
        <v>424</v>
      </c>
      <c r="B1" s="55" t="s">
        <v>487</v>
      </c>
      <c r="C1" s="55" t="s">
        <v>425</v>
      </c>
      <c r="D1" s="55" t="s">
        <v>527</v>
      </c>
      <c r="E1" s="55" t="s">
        <v>426</v>
      </c>
      <c r="F1" s="55" t="s">
        <v>427</v>
      </c>
      <c r="G1" s="55" t="s">
        <v>428</v>
      </c>
      <c r="H1" s="55" t="s">
        <v>429</v>
      </c>
      <c r="I1" s="55" t="s">
        <v>471</v>
      </c>
      <c r="J1" s="55" t="s">
        <v>472</v>
      </c>
      <c r="K1" s="55" t="s">
        <v>529</v>
      </c>
      <c r="L1" s="55" t="s">
        <v>473</v>
      </c>
      <c r="M1" s="55" t="s">
        <v>474</v>
      </c>
      <c r="N1" s="55" t="s">
        <v>475</v>
      </c>
      <c r="O1" s="55" t="s">
        <v>476</v>
      </c>
      <c r="P1" s="55" t="s">
        <v>530</v>
      </c>
      <c r="Q1" s="55" t="s">
        <v>531</v>
      </c>
      <c r="R1" s="55" t="s">
        <v>532</v>
      </c>
      <c r="S1" s="55" t="s">
        <v>533</v>
      </c>
      <c r="T1" s="55" t="s">
        <v>540</v>
      </c>
      <c r="U1" s="55" t="s">
        <v>528</v>
      </c>
      <c r="V1" s="55" t="s">
        <v>541</v>
      </c>
      <c r="W1" s="55" t="s">
        <v>542</v>
      </c>
      <c r="X1" s="56"/>
    </row>
    <row r="2" spans="1:24" x14ac:dyDescent="0.2">
      <c r="A2" s="4" t="s">
        <v>109</v>
      </c>
      <c r="B2" s="1" t="s">
        <v>442</v>
      </c>
      <c r="C2" s="7" t="s">
        <v>463</v>
      </c>
      <c r="D2" s="3">
        <v>5.0000000000000001E-3</v>
      </c>
      <c r="E2" s="3">
        <v>1E-3</v>
      </c>
      <c r="F2" s="3">
        <v>1E-4</v>
      </c>
      <c r="G2" s="1">
        <v>0.2</v>
      </c>
      <c r="H2" s="3">
        <v>200</v>
      </c>
      <c r="I2" s="3">
        <v>150</v>
      </c>
      <c r="J2" s="3">
        <v>150000</v>
      </c>
      <c r="K2" s="63">
        <v>200</v>
      </c>
      <c r="L2" s="63">
        <v>200</v>
      </c>
      <c r="M2" s="63">
        <v>2.5819888974716113E-3</v>
      </c>
      <c r="N2" s="64">
        <v>1E-3</v>
      </c>
      <c r="O2" s="64">
        <v>1000</v>
      </c>
      <c r="P2" s="63">
        <v>5.5555555555555552E-2</v>
      </c>
      <c r="Q2" s="63">
        <v>8.2752546307887226E-3</v>
      </c>
      <c r="R2" s="65">
        <v>21.51657414559676</v>
      </c>
      <c r="S2" s="63">
        <v>3.2049923370670528</v>
      </c>
      <c r="T2" s="3">
        <v>8.0800000000000002E-4</v>
      </c>
      <c r="U2" s="1">
        <v>1E-4</v>
      </c>
      <c r="V2" s="3">
        <v>6.3821357383263071E-4</v>
      </c>
      <c r="W2" s="3">
        <v>2.5528542953305229E-3</v>
      </c>
    </row>
    <row r="3" spans="1:24" x14ac:dyDescent="0.2">
      <c r="A3" s="4" t="s">
        <v>436</v>
      </c>
      <c r="B3" s="1" t="s">
        <v>442</v>
      </c>
      <c r="C3" s="7" t="s">
        <v>456</v>
      </c>
      <c r="D3" s="58">
        <v>5.0000000000000001E-3</v>
      </c>
      <c r="E3" s="58">
        <v>2.5000000000000001E-4</v>
      </c>
      <c r="F3" s="58">
        <v>2.5000000000000001E-5</v>
      </c>
      <c r="G3" s="58">
        <v>8.7999999999999995E-2</v>
      </c>
      <c r="H3" s="58">
        <v>352</v>
      </c>
      <c r="I3" s="58">
        <v>40</v>
      </c>
      <c r="J3" s="58">
        <v>160000</v>
      </c>
      <c r="K3" s="66">
        <v>22</v>
      </c>
      <c r="L3" s="66">
        <v>22</v>
      </c>
      <c r="M3" s="66">
        <v>2.5000000000000001E-3</v>
      </c>
      <c r="N3" s="67">
        <v>1E-3</v>
      </c>
      <c r="O3" s="67">
        <v>1000</v>
      </c>
      <c r="P3" s="66">
        <v>3.472222222222222E-3</v>
      </c>
      <c r="Q3" s="66">
        <v>1.540396066724874E-3</v>
      </c>
      <c r="R3" s="68">
        <v>1.3888888888888888</v>
      </c>
      <c r="S3" s="66">
        <v>0.61615842668994958</v>
      </c>
      <c r="T3" s="58">
        <v>1.3331999999999999E-3</v>
      </c>
      <c r="U3" s="58">
        <v>1.1111111111111112E-4</v>
      </c>
      <c r="V3" s="58">
        <v>2.8940973090393543E-4</v>
      </c>
      <c r="W3" s="58">
        <v>1.1576389236157417E-3</v>
      </c>
    </row>
    <row r="4" spans="1:24" x14ac:dyDescent="0.2">
      <c r="A4" s="1" t="s">
        <v>295</v>
      </c>
      <c r="B4" s="1" t="s">
        <v>488</v>
      </c>
      <c r="C4" s="32" t="s">
        <v>336</v>
      </c>
      <c r="D4" s="58">
        <v>0.05</v>
      </c>
      <c r="E4" s="58">
        <v>1.0000000000000001E-5</v>
      </c>
      <c r="F4" s="58">
        <v>5.0000000000000004E-6</v>
      </c>
      <c r="G4" s="58">
        <v>2.9999999999999997E-4</v>
      </c>
      <c r="H4" s="58">
        <v>30</v>
      </c>
      <c r="I4" s="58">
        <v>8.7600000000000002E-5</v>
      </c>
      <c r="J4" s="58">
        <v>8.76</v>
      </c>
      <c r="K4" s="66">
        <v>3.0000000000000001E-3</v>
      </c>
      <c r="L4" s="66">
        <v>3.0000000000000001E-3</v>
      </c>
      <c r="M4" s="66">
        <v>0.337868689199743</v>
      </c>
      <c r="N4" s="67">
        <v>1E-3</v>
      </c>
      <c r="O4" s="67">
        <v>1000</v>
      </c>
      <c r="P4" s="66">
        <v>5.5555555555555558E-6</v>
      </c>
      <c r="Q4" s="66">
        <v>5.5401952931486082E-6</v>
      </c>
      <c r="R4" s="68">
        <v>1.644294287438749E-5</v>
      </c>
      <c r="S4" s="66">
        <v>1.6397480649274744E-5</v>
      </c>
      <c r="T4" s="58">
        <v>2.0753424657534243</v>
      </c>
      <c r="U4" s="59">
        <v>1.6666666666666666E-2</v>
      </c>
      <c r="V4" s="58">
        <v>2.6872415881118744E-6</v>
      </c>
      <c r="W4" s="58">
        <v>1.0748966352447498E-5</v>
      </c>
    </row>
    <row r="5" spans="1:24" x14ac:dyDescent="0.2">
      <c r="A5" s="1" t="s">
        <v>438</v>
      </c>
      <c r="B5" s="1" t="s">
        <v>441</v>
      </c>
      <c r="C5" s="7" t="s">
        <v>445</v>
      </c>
      <c r="D5" s="58">
        <v>6.9999999999999997E-7</v>
      </c>
      <c r="E5" s="58">
        <v>1.5E-5</v>
      </c>
      <c r="F5" s="59"/>
      <c r="G5" s="59">
        <v>37.1</v>
      </c>
      <c r="H5" s="58">
        <v>2470000</v>
      </c>
      <c r="I5" s="58">
        <v>54100000</v>
      </c>
      <c r="J5" s="58">
        <v>3610000000000</v>
      </c>
      <c r="K5" s="66">
        <v>556.5</v>
      </c>
      <c r="L5" s="66">
        <v>557</v>
      </c>
      <c r="M5" s="66">
        <v>5.265589476245514E-7</v>
      </c>
      <c r="N5" s="67">
        <v>1E-3</v>
      </c>
      <c r="O5" s="67">
        <v>1000</v>
      </c>
      <c r="P5" s="66">
        <v>1.2499999999999997E-5</v>
      </c>
      <c r="Q5" s="66">
        <v>9.9620212604877382E-7</v>
      </c>
      <c r="R5" s="68">
        <v>23.739032555406851</v>
      </c>
      <c r="S5" s="66">
        <v>1.8919099761629894</v>
      </c>
      <c r="T5" s="58">
        <v>4.1557486136783736E-7</v>
      </c>
      <c r="U5" s="59">
        <v>6.9930069930069925E-7</v>
      </c>
      <c r="V5" s="60">
        <v>0.11798264983924639</v>
      </c>
      <c r="W5" s="60">
        <v>0.47193059935698556</v>
      </c>
    </row>
    <row r="6" spans="1:24" x14ac:dyDescent="0.2">
      <c r="A6" s="4" t="s">
        <v>46</v>
      </c>
      <c r="B6" s="1" t="s">
        <v>292</v>
      </c>
      <c r="C6" s="1" t="s">
        <v>492</v>
      </c>
      <c r="D6" s="59">
        <v>0.1</v>
      </c>
      <c r="E6" s="58">
        <v>2.0000000000000002E-5</v>
      </c>
      <c r="F6" s="58">
        <v>2.0000000000000002E-5</v>
      </c>
      <c r="G6" s="58">
        <v>1.5E-3</v>
      </c>
      <c r="H6" s="58">
        <v>75</v>
      </c>
      <c r="I6" s="58">
        <v>6.9599999999999995E-2</v>
      </c>
      <c r="J6" s="58">
        <v>3480</v>
      </c>
      <c r="K6" s="66">
        <v>3.0000000000000002E-2</v>
      </c>
      <c r="L6" s="66">
        <v>0.03</v>
      </c>
      <c r="M6" s="66">
        <v>1.6951587590520262E-2</v>
      </c>
      <c r="N6" s="67">
        <v>1E-3</v>
      </c>
      <c r="O6" s="67">
        <v>1000</v>
      </c>
      <c r="P6" s="66">
        <v>2.2222222222222223E-5</v>
      </c>
      <c r="Q6" s="66">
        <v>2.192652760342401E-5</v>
      </c>
      <c r="R6" s="68">
        <v>1.3109227736669E-3</v>
      </c>
      <c r="S6" s="66">
        <v>1.2934792972244E-3</v>
      </c>
      <c r="T6" s="58">
        <v>1.3060344827586208E-2</v>
      </c>
      <c r="U6" s="59">
        <v>5.0000000000000001E-3</v>
      </c>
      <c r="V6" s="58">
        <v>6.1068813151942247E-3</v>
      </c>
      <c r="W6" s="58">
        <v>2.4427525260776899E-2</v>
      </c>
    </row>
    <row r="7" spans="1:24" x14ac:dyDescent="0.2">
      <c r="A7" s="1" t="s">
        <v>433</v>
      </c>
      <c r="B7" s="1" t="s">
        <v>440</v>
      </c>
      <c r="C7" s="7" t="s">
        <v>466</v>
      </c>
      <c r="D7" s="61">
        <v>1E-3</v>
      </c>
      <c r="E7" s="58">
        <v>1.9999999999999999E-6</v>
      </c>
      <c r="F7" s="58">
        <v>1.9999999999999999E-6</v>
      </c>
      <c r="G7" s="58">
        <v>2.5000000000000001E-4</v>
      </c>
      <c r="H7" s="58">
        <v>125</v>
      </c>
      <c r="I7" s="58">
        <v>0.5</v>
      </c>
      <c r="J7" s="58">
        <v>250000</v>
      </c>
      <c r="K7" s="66">
        <v>5.0000000000000001E-4</v>
      </c>
      <c r="L7" s="66">
        <v>5.0000000000000001E-4</v>
      </c>
      <c r="M7" s="66">
        <v>2E-3</v>
      </c>
      <c r="N7" s="67">
        <v>1E-3</v>
      </c>
      <c r="O7" s="67">
        <v>1000</v>
      </c>
      <c r="P7" s="66">
        <v>2.2222222222222222E-7</v>
      </c>
      <c r="Q7" s="66">
        <v>2.2204245120946918E-7</v>
      </c>
      <c r="R7" s="68">
        <v>1.111111111111111E-4</v>
      </c>
      <c r="S7" s="66">
        <v>1.1102122560473458E-4</v>
      </c>
      <c r="T7" s="58">
        <v>3.0299999999999999E-4</v>
      </c>
      <c r="U7" s="58">
        <v>1.1999999999999999E-3</v>
      </c>
      <c r="V7" s="60">
        <v>0.65353069960461385</v>
      </c>
      <c r="W7" s="60">
        <v>2.6141227984184554</v>
      </c>
    </row>
    <row r="8" spans="1:24" x14ac:dyDescent="0.2">
      <c r="A8" s="1" t="s">
        <v>446</v>
      </c>
      <c r="B8" s="1" t="s">
        <v>441</v>
      </c>
      <c r="C8" s="7" t="s">
        <v>490</v>
      </c>
      <c r="D8" s="59">
        <v>0.6</v>
      </c>
      <c r="E8" s="58">
        <v>3.0000000000000001E-6</v>
      </c>
      <c r="F8" s="58">
        <v>3.0000000000000001E-6</v>
      </c>
      <c r="G8" s="58">
        <v>2.9999999999999997E-4</v>
      </c>
      <c r="H8" s="58">
        <v>100</v>
      </c>
      <c r="I8" s="58">
        <v>6.13E-2</v>
      </c>
      <c r="J8" s="58">
        <v>20400</v>
      </c>
      <c r="K8" s="66">
        <v>8.9999999999999998E-4</v>
      </c>
      <c r="L8" s="66">
        <v>8.9999999999999998E-4</v>
      </c>
      <c r="M8" s="66">
        <v>6.9956873221505922E-3</v>
      </c>
      <c r="N8" s="67">
        <v>1E-3</v>
      </c>
      <c r="O8" s="67">
        <v>1000</v>
      </c>
      <c r="P8" s="66">
        <v>4.9999999999999998E-7</v>
      </c>
      <c r="Q8" s="66">
        <v>4.9939452023228202E-7</v>
      </c>
      <c r="R8" s="68">
        <v>7.1472605474638562E-5</v>
      </c>
      <c r="S8" s="66">
        <v>7.1386055041516589E-5</v>
      </c>
      <c r="T8" s="58">
        <v>2.9657422512234907E-3</v>
      </c>
      <c r="U8" s="58">
        <v>8.9999999999999993E-3</v>
      </c>
      <c r="V8" s="60">
        <v>0.38371340228082218</v>
      </c>
      <c r="W8" s="60">
        <v>1.5348536091232887</v>
      </c>
    </row>
    <row r="9" spans="1:24" ht="29" x14ac:dyDescent="0.2">
      <c r="A9" s="1" t="s">
        <v>480</v>
      </c>
      <c r="B9" s="1" t="s">
        <v>489</v>
      </c>
      <c r="C9" s="32" t="s">
        <v>338</v>
      </c>
      <c r="D9" s="58">
        <v>0.01</v>
      </c>
      <c r="E9" s="58">
        <v>8.2999999999999998E-5</v>
      </c>
      <c r="F9" s="58">
        <v>8.2999999999999998E-5</v>
      </c>
      <c r="G9" s="58">
        <v>5.4800000000000001E-2</v>
      </c>
      <c r="H9" s="58">
        <v>660</v>
      </c>
      <c r="I9" s="58">
        <v>31.7</v>
      </c>
      <c r="J9" s="58">
        <v>381000</v>
      </c>
      <c r="K9" s="66">
        <v>4.5484</v>
      </c>
      <c r="L9" s="66">
        <v>4.55</v>
      </c>
      <c r="M9" s="66">
        <v>1.6181151164142971E-3</v>
      </c>
      <c r="N9" s="67">
        <v>1E-3</v>
      </c>
      <c r="O9" s="67">
        <v>1000</v>
      </c>
      <c r="P9" s="66">
        <v>3.8272222222222218E-4</v>
      </c>
      <c r="Q9" s="66">
        <v>2.686219674379965E-4</v>
      </c>
      <c r="R9" s="68">
        <v>0.23652348237764759</v>
      </c>
      <c r="S9" s="66">
        <v>0.16600918235858034</v>
      </c>
      <c r="T9" s="58">
        <v>1.0475962145110409E-3</v>
      </c>
      <c r="U9" s="58">
        <v>8.8999999999999995E-4</v>
      </c>
      <c r="V9" s="58">
        <v>3.0073289200578338E-2</v>
      </c>
      <c r="W9" s="58">
        <v>0.12029315680231335</v>
      </c>
    </row>
    <row r="10" spans="1:24" ht="29" x14ac:dyDescent="0.2">
      <c r="A10" s="1" t="s">
        <v>481</v>
      </c>
      <c r="B10" s="1" t="s">
        <v>292</v>
      </c>
      <c r="C10" s="32" t="s">
        <v>338</v>
      </c>
      <c r="D10" s="58">
        <v>8.8999999999999995E-4</v>
      </c>
      <c r="E10" s="58">
        <v>7.64E-5</v>
      </c>
      <c r="F10" s="58">
        <v>7.64E-5</v>
      </c>
      <c r="G10" s="58">
        <v>2.76E-2</v>
      </c>
      <c r="H10" s="58">
        <v>361</v>
      </c>
      <c r="I10" s="58">
        <v>12.7</v>
      </c>
      <c r="J10" s="58">
        <v>166000</v>
      </c>
      <c r="K10" s="66">
        <v>2.1086399999999998</v>
      </c>
      <c r="L10" s="66">
        <v>2.11</v>
      </c>
      <c r="M10" s="66">
        <v>2.4527021897279054E-3</v>
      </c>
      <c r="N10" s="67">
        <v>1E-3</v>
      </c>
      <c r="O10" s="67">
        <v>1000</v>
      </c>
      <c r="P10" s="66">
        <v>3.2427555555555551E-4</v>
      </c>
      <c r="Q10" s="66">
        <v>2.5930887385025228E-4</v>
      </c>
      <c r="R10" s="68">
        <v>0.13221154892495512</v>
      </c>
      <c r="S10" s="66">
        <v>0.10572375029314877</v>
      </c>
      <c r="T10" s="58">
        <v>1.316976377952756E-3</v>
      </c>
      <c r="U10" s="58">
        <v>8.8999999999999995E-4</v>
      </c>
      <c r="V10" s="58">
        <v>1.9028861319264539E-2</v>
      </c>
      <c r="W10" s="58">
        <v>7.6115445277058158E-2</v>
      </c>
    </row>
    <row r="11" spans="1:24" ht="29" x14ac:dyDescent="0.2">
      <c r="A11" s="1" t="s">
        <v>451</v>
      </c>
      <c r="B11" s="52" t="s">
        <v>489</v>
      </c>
      <c r="C11" s="32" t="s">
        <v>338</v>
      </c>
      <c r="D11" s="58">
        <v>4.0000000000000001E-3</v>
      </c>
      <c r="E11" s="58">
        <v>6.05E-5</v>
      </c>
      <c r="F11" s="58">
        <v>6.05E-5</v>
      </c>
      <c r="G11" s="58">
        <v>8.8200000000000001E-2</v>
      </c>
      <c r="H11" s="58">
        <v>1460</v>
      </c>
      <c r="I11" s="58">
        <v>83.3</v>
      </c>
      <c r="J11" s="58">
        <v>1380000</v>
      </c>
      <c r="K11" s="66">
        <v>5.3361000000000001</v>
      </c>
      <c r="L11" s="66">
        <v>5.34</v>
      </c>
      <c r="M11" s="66">
        <v>8.5222679857329211E-4</v>
      </c>
      <c r="N11" s="67">
        <v>1E-3</v>
      </c>
      <c r="O11" s="67">
        <v>1000</v>
      </c>
      <c r="P11" s="66">
        <v>2.0334722222222222E-4</v>
      </c>
      <c r="Q11" s="66">
        <v>1.3794238866855277E-4</v>
      </c>
      <c r="R11" s="68">
        <v>0.23860693252388285</v>
      </c>
      <c r="S11" s="66">
        <v>0.16186112534771416</v>
      </c>
      <c r="T11" s="58">
        <v>6.4164705882352945E-4</v>
      </c>
      <c r="U11" s="58">
        <v>8.8999999999999995E-4</v>
      </c>
      <c r="V11" s="58">
        <v>8.016344189831931E-2</v>
      </c>
      <c r="W11" s="58">
        <v>0.32065376759327724</v>
      </c>
    </row>
    <row r="12" spans="1:24" x14ac:dyDescent="0.2">
      <c r="A12" s="1" t="s">
        <v>453</v>
      </c>
      <c r="B12" s="1" t="s">
        <v>442</v>
      </c>
      <c r="C12" s="7" t="s">
        <v>459</v>
      </c>
      <c r="D12" s="58">
        <v>1.6E-2</v>
      </c>
      <c r="E12" s="58">
        <v>1E-4</v>
      </c>
      <c r="F12" s="59"/>
      <c r="G12" s="58">
        <v>3.3000000000000002E-2</v>
      </c>
      <c r="H12" s="58">
        <v>330</v>
      </c>
      <c r="I12" s="58">
        <v>6</v>
      </c>
      <c r="J12" s="58">
        <v>60000</v>
      </c>
      <c r="K12" s="66">
        <v>3.3</v>
      </c>
      <c r="L12" s="66">
        <v>3.3</v>
      </c>
      <c r="M12" s="66">
        <v>4.0824829046386306E-3</v>
      </c>
      <c r="N12" s="67">
        <v>1E-3</v>
      </c>
      <c r="O12" s="67">
        <v>1000</v>
      </c>
      <c r="P12" s="66">
        <v>5.5555555555555556E-4</v>
      </c>
      <c r="Q12" s="66">
        <v>4.1439221584550659E-4</v>
      </c>
      <c r="R12" s="68">
        <v>0.13608276348795431</v>
      </c>
      <c r="S12" s="66">
        <v>0.1015049482202761</v>
      </c>
      <c r="T12" s="58">
        <v>3.3330000000000005E-3</v>
      </c>
      <c r="U12" s="59">
        <v>6.6666666666666664E-4</v>
      </c>
      <c r="V12" s="58">
        <v>1.6670000500066666E-3</v>
      </c>
      <c r="W12" s="58">
        <v>6.6680002000266666E-3</v>
      </c>
    </row>
    <row r="13" spans="1:24" x14ac:dyDescent="0.2">
      <c r="A13" s="1" t="s">
        <v>482</v>
      </c>
      <c r="B13" s="1" t="s">
        <v>488</v>
      </c>
      <c r="C13" s="7" t="s">
        <v>464</v>
      </c>
      <c r="D13" s="59">
        <v>1</v>
      </c>
      <c r="E13" s="58">
        <v>4.0000000000000003E-5</v>
      </c>
      <c r="F13" s="59"/>
      <c r="G13" s="58">
        <v>1.5E-3</v>
      </c>
      <c r="H13" s="58">
        <v>37.5</v>
      </c>
      <c r="I13" s="58">
        <v>1.4999999999999999E-2</v>
      </c>
      <c r="J13" s="58">
        <v>375</v>
      </c>
      <c r="K13" s="66">
        <v>6.0000000000000005E-2</v>
      </c>
      <c r="L13" s="66">
        <v>0.06</v>
      </c>
      <c r="M13" s="66">
        <v>5.1639777949432225E-2</v>
      </c>
      <c r="N13" s="67">
        <v>1E-3</v>
      </c>
      <c r="O13" s="67">
        <v>1000</v>
      </c>
      <c r="P13" s="66">
        <v>8.8888888888888893E-5</v>
      </c>
      <c r="Q13" s="66">
        <v>8.7000025504013425E-5</v>
      </c>
      <c r="R13" s="68">
        <v>1.7213259316477408E-3</v>
      </c>
      <c r="S13" s="66">
        <v>1.6847482494833227E-3</v>
      </c>
      <c r="T13" s="58">
        <v>6.0600000000000001E-2</v>
      </c>
      <c r="U13" s="59">
        <v>1E-3</v>
      </c>
      <c r="V13" s="58">
        <v>1.1346019090357878E-5</v>
      </c>
      <c r="W13" s="58">
        <v>4.5384076361431512E-5</v>
      </c>
    </row>
    <row r="14" spans="1:24" x14ac:dyDescent="0.2">
      <c r="A14" s="1" t="s">
        <v>484</v>
      </c>
      <c r="B14" s="1" t="s">
        <v>442</v>
      </c>
      <c r="C14" s="7" t="s">
        <v>462</v>
      </c>
      <c r="D14" s="58">
        <v>2E-3</v>
      </c>
      <c r="E14" s="58">
        <v>1.4999999999999999E-4</v>
      </c>
      <c r="F14" s="59"/>
      <c r="G14" s="58">
        <v>0.1</v>
      </c>
      <c r="H14" s="58">
        <v>667</v>
      </c>
      <c r="I14" s="58">
        <v>100</v>
      </c>
      <c r="J14" s="58">
        <v>667000</v>
      </c>
      <c r="K14" s="66">
        <v>15</v>
      </c>
      <c r="L14" s="66">
        <v>15</v>
      </c>
      <c r="M14" s="66">
        <v>1.2247448713915889E-3</v>
      </c>
      <c r="N14" s="67">
        <v>1E-3</v>
      </c>
      <c r="O14" s="67">
        <v>1000</v>
      </c>
      <c r="P14" s="66">
        <v>1.2499999999999998E-3</v>
      </c>
      <c r="Q14" s="66">
        <v>6.364641817436569E-4</v>
      </c>
      <c r="R14" s="68">
        <v>1.0206207261596574</v>
      </c>
      <c r="S14" s="66">
        <v>0.51967082827665878</v>
      </c>
      <c r="T14" s="58">
        <v>6.0599999999999998E-4</v>
      </c>
      <c r="U14" s="59">
        <v>1E-3</v>
      </c>
      <c r="V14" s="58">
        <v>0.1134601909035788</v>
      </c>
      <c r="W14" s="58">
        <v>0.45384076361431519</v>
      </c>
    </row>
    <row r="15" spans="1:24" x14ac:dyDescent="0.2">
      <c r="A15" s="1" t="s">
        <v>485</v>
      </c>
      <c r="B15" s="1" t="s">
        <v>442</v>
      </c>
      <c r="C15" s="7" t="s">
        <v>455</v>
      </c>
      <c r="D15" s="58">
        <v>0.1</v>
      </c>
      <c r="E15" s="58">
        <v>1.2999999999999999E-4</v>
      </c>
      <c r="F15" s="59"/>
      <c r="G15" s="58">
        <v>3.3E-3</v>
      </c>
      <c r="H15" s="58">
        <v>25.4</v>
      </c>
      <c r="I15" s="58">
        <v>0.7</v>
      </c>
      <c r="J15" s="58">
        <v>5380</v>
      </c>
      <c r="K15" s="66">
        <v>0.42899999999999994</v>
      </c>
      <c r="L15" s="66">
        <v>0.42899999999999999</v>
      </c>
      <c r="M15" s="66">
        <v>1.3627702877384937E-2</v>
      </c>
      <c r="N15" s="67">
        <v>1E-3</v>
      </c>
      <c r="O15" s="67">
        <v>1000</v>
      </c>
      <c r="P15" s="66">
        <v>9.3888888888888863E-4</v>
      </c>
      <c r="Q15" s="66">
        <v>8.6624020427869162E-4</v>
      </c>
      <c r="R15" s="68">
        <v>6.8895608991223836E-2</v>
      </c>
      <c r="S15" s="66">
        <v>6.3564652977297464E-2</v>
      </c>
      <c r="T15" s="58">
        <v>2.8568571428571428E-3</v>
      </c>
      <c r="U15" s="59">
        <v>4.0000000000000001E-3</v>
      </c>
      <c r="V15" s="58">
        <v>8.1683002450326711E-2</v>
      </c>
      <c r="W15" s="58">
        <v>0.32673200980130684</v>
      </c>
    </row>
    <row r="16" spans="1:24" x14ac:dyDescent="0.2">
      <c r="A16" s="1" t="s">
        <v>477</v>
      </c>
      <c r="B16" s="1" t="s">
        <v>441</v>
      </c>
      <c r="C16" s="7" t="s">
        <v>491</v>
      </c>
      <c r="D16" s="58">
        <v>3.0000000000000001E-3</v>
      </c>
      <c r="E16" s="58">
        <v>7.9999999999999996E-7</v>
      </c>
      <c r="F16" s="59"/>
      <c r="G16" s="58">
        <v>0.02</v>
      </c>
      <c r="H16" s="58">
        <v>25000</v>
      </c>
      <c r="I16" s="58">
        <v>18</v>
      </c>
      <c r="J16" s="58">
        <v>22500000</v>
      </c>
      <c r="K16" s="66">
        <v>1.6E-2</v>
      </c>
      <c r="L16" s="66">
        <v>1.6E-2</v>
      </c>
      <c r="M16" s="66">
        <v>2.1081851067789194E-4</v>
      </c>
      <c r="N16" s="67">
        <v>1E-3</v>
      </c>
      <c r="O16" s="67">
        <v>1000</v>
      </c>
      <c r="P16" s="66">
        <v>3.5555555555555541E-8</v>
      </c>
      <c r="Q16" s="66">
        <v>3.5246922181398756E-8</v>
      </c>
      <c r="R16" s="68">
        <v>1.6865480854231349E-4</v>
      </c>
      <c r="S16" s="66">
        <v>1.6719083190589593E-4</v>
      </c>
      <c r="T16" s="58">
        <v>6.733333333333334E-4</v>
      </c>
      <c r="U16" s="59">
        <v>2E-3</v>
      </c>
      <c r="V16" s="60">
        <v>0.36761101852759526</v>
      </c>
      <c r="W16" s="60">
        <v>1.470444074110381</v>
      </c>
    </row>
    <row r="17" spans="1:23" x14ac:dyDescent="0.2">
      <c r="A17" s="1" t="s">
        <v>478</v>
      </c>
      <c r="B17" s="1" t="s">
        <v>441</v>
      </c>
      <c r="C17" s="7" t="s">
        <v>491</v>
      </c>
      <c r="D17" s="61">
        <v>0.04</v>
      </c>
      <c r="E17" s="58">
        <v>1.2E-5</v>
      </c>
      <c r="F17" s="59"/>
      <c r="G17" s="58">
        <v>2.8000000000000001E-2</v>
      </c>
      <c r="H17" s="58">
        <v>2330</v>
      </c>
      <c r="I17" s="58">
        <v>2.74</v>
      </c>
      <c r="J17" s="58">
        <v>228000</v>
      </c>
      <c r="K17" s="66">
        <v>0.33600000000000002</v>
      </c>
      <c r="L17" s="66">
        <v>0.33600000000000002</v>
      </c>
      <c r="M17" s="66">
        <v>2.0927403192454674E-3</v>
      </c>
      <c r="N17" s="67">
        <v>1E-3</v>
      </c>
      <c r="O17" s="67">
        <v>1000</v>
      </c>
      <c r="P17" s="66">
        <v>7.9999999999999996E-6</v>
      </c>
      <c r="Q17" s="66">
        <v>7.4703063634623027E-6</v>
      </c>
      <c r="R17" s="68">
        <v>3.8227389831550535E-3</v>
      </c>
      <c r="S17" s="66">
        <v>3.5696289189648261E-3</v>
      </c>
      <c r="T17" s="58">
        <v>6.1927007299270066E-3</v>
      </c>
      <c r="U17" s="59">
        <v>2E-3</v>
      </c>
      <c r="V17" s="58">
        <v>4.3459884144270832E-3</v>
      </c>
      <c r="W17" s="58">
        <v>1.7383953657708333E-2</v>
      </c>
    </row>
    <row r="18" spans="1:23" x14ac:dyDescent="0.2">
      <c r="A18" s="1" t="s">
        <v>479</v>
      </c>
      <c r="B18" s="1" t="s">
        <v>489</v>
      </c>
      <c r="C18" s="42" t="s">
        <v>364</v>
      </c>
      <c r="D18" s="61">
        <v>4.0000000000000001E-3</v>
      </c>
      <c r="E18" s="58">
        <v>1.0000000000000001E-5</v>
      </c>
      <c r="F18" s="59"/>
      <c r="G18" s="58">
        <v>6.0699999999999999E-3</v>
      </c>
      <c r="H18" s="58">
        <v>607</v>
      </c>
      <c r="I18" s="58">
        <v>3.1120000000000001</v>
      </c>
      <c r="J18" s="58">
        <v>311000</v>
      </c>
      <c r="K18" s="66">
        <v>6.0700000000000004E-2</v>
      </c>
      <c r="L18" s="66">
        <v>6.0699999999999997E-2</v>
      </c>
      <c r="M18" s="66">
        <v>1.7925868484551868E-3</v>
      </c>
      <c r="N18" s="67">
        <v>1E-3</v>
      </c>
      <c r="O18" s="67">
        <v>1000</v>
      </c>
      <c r="P18" s="66">
        <v>5.5555555555555558E-6</v>
      </c>
      <c r="Q18" s="66">
        <v>5.4365773374815738E-6</v>
      </c>
      <c r="R18" s="68">
        <v>3.0991834846625229E-3</v>
      </c>
      <c r="S18" s="66">
        <v>3.0328111255344199E-3</v>
      </c>
      <c r="T18" s="58">
        <v>1.1820115681233933E-3</v>
      </c>
      <c r="U18" s="59">
        <v>1E-3</v>
      </c>
      <c r="V18" s="58">
        <v>2.9822586329562809E-2</v>
      </c>
      <c r="W18" s="58">
        <v>0.11929034531825124</v>
      </c>
    </row>
    <row r="19" spans="1:23" x14ac:dyDescent="0.2">
      <c r="A19" s="57" t="s">
        <v>534</v>
      </c>
      <c r="B19" s="4"/>
      <c r="C19" s="7"/>
      <c r="D19" s="62"/>
      <c r="E19" s="58"/>
      <c r="F19" s="58"/>
      <c r="G19" s="59"/>
      <c r="H19" s="58"/>
      <c r="I19" s="59"/>
      <c r="J19" s="58"/>
      <c r="K19" s="66"/>
      <c r="L19" s="66"/>
      <c r="M19" s="66"/>
      <c r="N19" s="67"/>
      <c r="O19" s="67"/>
      <c r="P19" s="66"/>
      <c r="Q19" s="66"/>
      <c r="R19" s="68"/>
      <c r="S19" s="66"/>
      <c r="T19" s="58"/>
      <c r="U19" s="59"/>
      <c r="V19" s="58"/>
      <c r="W19" s="58"/>
    </row>
    <row r="20" spans="1:23" x14ac:dyDescent="0.2">
      <c r="A20" s="4" t="s">
        <v>536</v>
      </c>
      <c r="B20" s="1" t="s">
        <v>543</v>
      </c>
      <c r="C20" s="2" t="s">
        <v>535</v>
      </c>
      <c r="D20" s="62"/>
      <c r="E20" s="58">
        <v>6.9999999999999994E-5</v>
      </c>
      <c r="F20" s="58"/>
      <c r="G20" s="58">
        <v>14</v>
      </c>
      <c r="H20" s="58">
        <v>200000.00000000003</v>
      </c>
      <c r="I20" s="58">
        <v>1800000</v>
      </c>
      <c r="J20" s="58">
        <v>25714285714.285717</v>
      </c>
      <c r="K20" s="66">
        <v>64.543010752688161</v>
      </c>
      <c r="L20" s="66">
        <v>64.543010752688161</v>
      </c>
      <c r="M20" s="66">
        <v>6.2360956446232352E-6</v>
      </c>
      <c r="N20" s="66">
        <v>1.8600000000000001E-5</v>
      </c>
      <c r="O20" s="67">
        <v>1.2250000000000001</v>
      </c>
      <c r="P20" s="66">
        <v>1.6830943847072878E-2</v>
      </c>
      <c r="Q20" s="66">
        <v>4.6404773089031787E-3</v>
      </c>
      <c r="R20" s="68">
        <v>2698.9553730761854</v>
      </c>
      <c r="S20" s="66">
        <v>744.1318371863332</v>
      </c>
      <c r="T20" s="58">
        <v>4.7133333333333337E-6</v>
      </c>
      <c r="U20" s="59">
        <v>3.9999999999999998E-6</v>
      </c>
      <c r="V20" s="58">
        <v>3.0009062736946548E-2</v>
      </c>
      <c r="W20" s="58">
        <v>0.12003625094778619</v>
      </c>
    </row>
    <row r="21" spans="1:23" x14ac:dyDescent="0.2">
      <c r="A21" s="4" t="s">
        <v>537</v>
      </c>
      <c r="B21" s="1" t="s">
        <v>543</v>
      </c>
      <c r="C21" s="2" t="s">
        <v>535</v>
      </c>
      <c r="D21" s="62"/>
      <c r="E21" s="58">
        <v>3.4999999999999997E-5</v>
      </c>
      <c r="F21" s="58"/>
      <c r="G21" s="58">
        <v>21</v>
      </c>
      <c r="H21" s="58">
        <v>600000</v>
      </c>
      <c r="I21" s="58">
        <v>1500000</v>
      </c>
      <c r="J21" s="58">
        <v>42857142857.14286</v>
      </c>
      <c r="K21" s="66">
        <v>48.407258064516121</v>
      </c>
      <c r="L21" s="66">
        <v>48.407258064516121</v>
      </c>
      <c r="M21" s="66">
        <v>4.8304589153964791E-6</v>
      </c>
      <c r="N21" s="66">
        <v>1.8600000000000001E-5</v>
      </c>
      <c r="O21" s="67">
        <v>1.2250000000000001</v>
      </c>
      <c r="P21" s="66">
        <v>4.2077359617682195E-3</v>
      </c>
      <c r="Q21" s="66">
        <v>1.3332999942679905E-3</v>
      </c>
      <c r="R21" s="68">
        <v>871.08410100675769</v>
      </c>
      <c r="S21" s="66">
        <v>276.01932189470955</v>
      </c>
      <c r="T21" s="58">
        <v>8.4839999999999987E-6</v>
      </c>
      <c r="U21" s="59">
        <v>3.9999999999999998E-6</v>
      </c>
      <c r="V21" s="58">
        <v>9.2620564002921478E-3</v>
      </c>
      <c r="W21" s="58">
        <v>3.7048225601168591E-2</v>
      </c>
    </row>
    <row r="22" spans="1:23" x14ac:dyDescent="0.2">
      <c r="A22" s="4" t="s">
        <v>538</v>
      </c>
      <c r="B22" s="1" t="s">
        <v>543</v>
      </c>
      <c r="C22" s="2" t="s">
        <v>535</v>
      </c>
      <c r="D22" s="62"/>
      <c r="E22" s="58">
        <v>2.0000000000000002E-5</v>
      </c>
      <c r="F22" s="58"/>
      <c r="G22" s="58">
        <v>9</v>
      </c>
      <c r="H22" s="58">
        <v>449999.99999999994</v>
      </c>
      <c r="I22" s="58">
        <v>210000</v>
      </c>
      <c r="J22" s="58">
        <v>10500000000</v>
      </c>
      <c r="K22" s="66">
        <v>11.85483870967742</v>
      </c>
      <c r="L22" s="66">
        <v>11.85483870967742</v>
      </c>
      <c r="M22" s="66">
        <v>9.7590007294853326E-6</v>
      </c>
      <c r="N22" s="66">
        <v>1.8600000000000001E-5</v>
      </c>
      <c r="O22" s="67">
        <v>1.2250000000000001</v>
      </c>
      <c r="P22" s="66">
        <v>1.3739545997610517E-3</v>
      </c>
      <c r="Q22" s="66">
        <v>7.548858707665517E-4</v>
      </c>
      <c r="R22" s="68">
        <v>140.78845138415221</v>
      </c>
      <c r="S22" s="66">
        <v>77.352783516633949</v>
      </c>
      <c r="T22" s="58">
        <v>2.5971428571428569E-5</v>
      </c>
      <c r="U22" s="59">
        <v>3.9999999999999998E-6</v>
      </c>
      <c r="V22" s="58">
        <v>9.8836432964895336E-4</v>
      </c>
      <c r="W22" s="58">
        <v>3.9534573185958134E-3</v>
      </c>
    </row>
    <row r="23" spans="1:23" x14ac:dyDescent="0.2">
      <c r="A23" s="4" t="s">
        <v>539</v>
      </c>
      <c r="B23" s="1" t="s">
        <v>543</v>
      </c>
      <c r="C23" s="2" t="s">
        <v>535</v>
      </c>
      <c r="D23" s="62"/>
      <c r="E23" s="58">
        <v>4.0000000000000003E-5</v>
      </c>
      <c r="F23" s="59"/>
      <c r="G23" s="59">
        <v>4</v>
      </c>
      <c r="H23" s="58">
        <v>99999.999999999985</v>
      </c>
      <c r="I23" s="58">
        <v>1500000</v>
      </c>
      <c r="J23" s="58">
        <v>37500000000</v>
      </c>
      <c r="K23" s="66">
        <v>10.53763440860215</v>
      </c>
      <c r="L23" s="66">
        <v>10.53763440860215</v>
      </c>
      <c r="M23" s="66">
        <v>5.1639777949432226E-6</v>
      </c>
      <c r="N23" s="66">
        <v>1.8600000000000001E-5</v>
      </c>
      <c r="O23" s="67">
        <v>1.2250000000000001</v>
      </c>
      <c r="P23" s="66">
        <v>5.4958183990442069E-3</v>
      </c>
      <c r="Q23" s="66">
        <v>3.1291352382272824E-3</v>
      </c>
      <c r="R23" s="68">
        <v>1064.2606566639261</v>
      </c>
      <c r="S23" s="66">
        <v>605.9544332842521</v>
      </c>
      <c r="T23" s="58">
        <v>1.6159999999999999E-6</v>
      </c>
      <c r="U23" s="59">
        <v>3.9999999999999998E-6</v>
      </c>
      <c r="V23" s="58">
        <v>0.25528542953305228</v>
      </c>
      <c r="W23" s="58">
        <v>1.0211417181322091</v>
      </c>
    </row>
    <row r="25" spans="1:23" x14ac:dyDescent="0.2">
      <c r="E25" s="3"/>
      <c r="F25" s="3"/>
      <c r="H25" s="3"/>
      <c r="J25" s="3"/>
      <c r="K25" s="63"/>
      <c r="L25" s="63"/>
      <c r="M25" s="63"/>
    </row>
    <row r="29" spans="1:23" x14ac:dyDescent="0.2">
      <c r="A29" s="53"/>
      <c r="B29" s="53"/>
      <c r="E29" s="3"/>
      <c r="G29" s="3"/>
      <c r="H29" s="3"/>
      <c r="J29" s="3"/>
      <c r="K29" s="63"/>
      <c r="L29" s="63"/>
      <c r="M29" s="63"/>
    </row>
  </sheetData>
  <hyperlinks>
    <hyperlink ref="C12" r:id="rId1" xr:uid="{327C4E26-EFBD-FF4D-B0B0-7A6D8B869C40}"/>
    <hyperlink ref="C9" r:id="rId2" display="(Gemmell, Jiang and Buskey 2015)" xr:uid="{7B7B2C50-BD96-1E42-A48D-C43CC484BC3D}"/>
    <hyperlink ref="C10" r:id="rId3" display="(Gemmell, Jiang and Buskey 2015)" xr:uid="{C379D837-52DD-1041-BBD4-7F85BCB6D457}"/>
    <hyperlink ref="C11" r:id="rId4" display="(Gemmell, Jiang and Buskey 2015)" xr:uid="{F59D2F8D-F33C-CA4C-A1FD-5A55AC19B348}"/>
    <hyperlink ref="C13" r:id="rId5" xr:uid="{AD27AC2E-0472-7041-8D23-E4D279D6E6E4}"/>
    <hyperlink ref="C14" r:id="rId6" xr:uid="{30916A9F-73A1-BB42-BF6B-BB163267F0CE}"/>
    <hyperlink ref="C15" r:id="rId7" xr:uid="{5096D16D-32E3-F74C-97B5-2B4BEF47F3A8}"/>
    <hyperlink ref="C2" r:id="rId8" xr:uid="{008BD465-86EB-A34A-A6AD-7B39D4B33241}"/>
    <hyperlink ref="C3" r:id="rId9" xr:uid="{A4C33575-D0B9-D849-B6D3-7692A4B71D44}"/>
    <hyperlink ref="C4" r:id="rId10" xr:uid="{51279127-FB71-6942-A0BB-09549AFD4A24}"/>
    <hyperlink ref="C5" r:id="rId11" xr:uid="{3FB9EAE7-31C4-FB42-B7B0-5AA50D227028}"/>
    <hyperlink ref="C7" r:id="rId12" xr:uid="{ED33CCA1-2837-CC43-B7FE-5E8517E1A619}"/>
    <hyperlink ref="C8" r:id="rId13" xr:uid="{B6F61DAA-F13F-6843-9168-BBB71E270C94}"/>
    <hyperlink ref="C16" r:id="rId14" xr:uid="{F9CCA709-2EF8-BB4A-A7F6-4C9D163C1B13}"/>
    <hyperlink ref="C17" r:id="rId15" xr:uid="{D0D6F422-28CE-AA44-AE97-DA63CB8DB5CC}"/>
    <hyperlink ref="C18" r:id="rId16" xr:uid="{42CD45D9-C2F6-8B43-A938-C51B3E200E95}"/>
    <hyperlink ref="C20" r:id="rId17" xr:uid="{D6BE7B7E-81F7-8C41-B78A-7472B7A82978}"/>
    <hyperlink ref="C21" r:id="rId18" xr:uid="{95B52726-990F-AE40-85E8-81A96112E79D}"/>
    <hyperlink ref="C22" r:id="rId19" xr:uid="{191CE253-C11D-B542-BBDE-ADD4789F6467}"/>
    <hyperlink ref="C23" r:id="rId20" xr:uid="{4B41749E-925B-6C42-8139-7D3537944E95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E9BE-D3DE-1B48-A753-F43E1A65CB10}">
  <dimension ref="A1:C6"/>
  <sheetViews>
    <sheetView zoomScale="190" workbookViewId="0">
      <selection activeCell="D13" sqref="D13"/>
    </sheetView>
  </sheetViews>
  <sheetFormatPr baseColWidth="10" defaultRowHeight="16" x14ac:dyDescent="0.2"/>
  <cols>
    <col min="1" max="1" width="33.83203125" customWidth="1"/>
    <col min="2" max="2" width="23" customWidth="1"/>
    <col min="3" max="3" width="19.1640625" customWidth="1"/>
  </cols>
  <sheetData>
    <row r="1" spans="1:3" x14ac:dyDescent="0.2">
      <c r="A1" s="9" t="s">
        <v>424</v>
      </c>
      <c r="B1" s="9" t="s">
        <v>6</v>
      </c>
      <c r="C1" s="9" t="s">
        <v>502</v>
      </c>
    </row>
    <row r="2" spans="1:3" x14ac:dyDescent="0.2">
      <c r="A2" s="54" t="s">
        <v>507</v>
      </c>
      <c r="B2" s="2" t="s">
        <v>508</v>
      </c>
      <c r="C2">
        <v>400</v>
      </c>
    </row>
    <row r="3" spans="1:3" x14ac:dyDescent="0.2">
      <c r="A3" t="s">
        <v>506</v>
      </c>
      <c r="B3" s="2" t="s">
        <v>509</v>
      </c>
      <c r="C3">
        <v>50</v>
      </c>
    </row>
    <row r="4" spans="1:3" x14ac:dyDescent="0.2">
      <c r="A4" t="s">
        <v>505</v>
      </c>
      <c r="B4" s="2" t="s">
        <v>524</v>
      </c>
      <c r="C4">
        <v>200</v>
      </c>
    </row>
    <row r="5" spans="1:3" x14ac:dyDescent="0.2">
      <c r="A5" t="s">
        <v>503</v>
      </c>
      <c r="B5" s="2" t="s">
        <v>510</v>
      </c>
      <c r="C5">
        <v>4.7</v>
      </c>
    </row>
    <row r="6" spans="1:3" x14ac:dyDescent="0.2">
      <c r="A6" t="s">
        <v>504</v>
      </c>
      <c r="B6" s="2" t="s">
        <v>511</v>
      </c>
      <c r="C6">
        <v>500</v>
      </c>
    </row>
  </sheetData>
  <hyperlinks>
    <hyperlink ref="B2" r:id="rId1" xr:uid="{E38AF3BA-384E-6F48-87FB-F7C2C3A7C356}"/>
    <hyperlink ref="B3" r:id="rId2" xr:uid="{272688D9-535D-BE47-8A14-4DF50B94A7EF}"/>
    <hyperlink ref="B5" r:id="rId3" xr:uid="{016CE6E8-FD9D-CE4A-8CC7-DBFE4949D5C8}"/>
    <hyperlink ref="B6" r:id="rId4" xr:uid="{B279B1B2-779F-B74C-9C17-FE018BAF3361}"/>
    <hyperlink ref="B4" r:id="rId5" xr:uid="{40EE341D-FCD0-E942-AA57-D7F01D78FC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C794-A222-5C42-BA69-396C517D016F}">
  <dimension ref="A1:C10"/>
  <sheetViews>
    <sheetView zoomScale="251" workbookViewId="0">
      <selection activeCell="A10" sqref="A10"/>
    </sheetView>
  </sheetViews>
  <sheetFormatPr baseColWidth="10" defaultRowHeight="16" x14ac:dyDescent="0.2"/>
  <cols>
    <col min="1" max="1" width="38" customWidth="1"/>
    <col min="2" max="2" width="26.1640625" customWidth="1"/>
    <col min="3" max="3" width="30.1640625" customWidth="1"/>
  </cols>
  <sheetData>
    <row r="1" spans="1:3" x14ac:dyDescent="0.2">
      <c r="A1" s="9" t="s">
        <v>424</v>
      </c>
      <c r="B1" s="9" t="s">
        <v>6</v>
      </c>
      <c r="C1" s="9" t="s">
        <v>501</v>
      </c>
    </row>
    <row r="2" spans="1:3" x14ac:dyDescent="0.2">
      <c r="A2" s="54" t="s">
        <v>494</v>
      </c>
      <c r="B2" s="7" t="s">
        <v>498</v>
      </c>
      <c r="C2">
        <v>0.02</v>
      </c>
    </row>
    <row r="3" spans="1:3" x14ac:dyDescent="0.2">
      <c r="A3" t="s">
        <v>512</v>
      </c>
      <c r="B3" s="2" t="s">
        <v>519</v>
      </c>
      <c r="C3" s="51">
        <v>1.6699999999999999E-4</v>
      </c>
    </row>
    <row r="4" spans="1:3" x14ac:dyDescent="0.2">
      <c r="A4" t="s">
        <v>513</v>
      </c>
      <c r="B4" s="2" t="s">
        <v>520</v>
      </c>
      <c r="C4" s="51">
        <v>2.9999999999999997E-4</v>
      </c>
    </row>
    <row r="5" spans="1:3" x14ac:dyDescent="0.2">
      <c r="A5" t="s">
        <v>503</v>
      </c>
      <c r="B5" s="2" t="s">
        <v>522</v>
      </c>
      <c r="C5" s="51">
        <v>1.15E-3</v>
      </c>
    </row>
    <row r="6" spans="1:3" x14ac:dyDescent="0.2">
      <c r="A6" t="s">
        <v>514</v>
      </c>
      <c r="B6" s="2" t="s">
        <v>521</v>
      </c>
      <c r="C6" s="51">
        <v>5.0000000000000001E-3</v>
      </c>
    </row>
    <row r="7" spans="1:3" x14ac:dyDescent="0.2">
      <c r="A7" t="s">
        <v>515</v>
      </c>
      <c r="B7" t="s">
        <v>516</v>
      </c>
      <c r="C7">
        <v>4.54</v>
      </c>
    </row>
    <row r="8" spans="1:3" x14ac:dyDescent="0.2">
      <c r="A8" t="s">
        <v>517</v>
      </c>
      <c r="B8" s="2" t="s">
        <v>523</v>
      </c>
      <c r="C8">
        <v>506</v>
      </c>
    </row>
    <row r="9" spans="1:3" x14ac:dyDescent="0.2">
      <c r="A9" t="s">
        <v>518</v>
      </c>
      <c r="B9" s="7" t="s">
        <v>490</v>
      </c>
      <c r="C9">
        <v>0.57999999999999996</v>
      </c>
    </row>
    <row r="10" spans="1:3" x14ac:dyDescent="0.2">
      <c r="A10" t="s">
        <v>504</v>
      </c>
      <c r="B10" s="2" t="s">
        <v>511</v>
      </c>
      <c r="C10">
        <v>30</v>
      </c>
    </row>
  </sheetData>
  <hyperlinks>
    <hyperlink ref="B10" r:id="rId1" xr:uid="{019C1963-1B3B-1745-A885-E8E10F4E6872}"/>
    <hyperlink ref="B9" r:id="rId2" xr:uid="{B0993B14-0578-E64F-BA51-1826B6F03218}"/>
    <hyperlink ref="B2" r:id="rId3" xr:uid="{A8B463DA-3DEF-C94F-B6BA-F5061E767EA3}"/>
    <hyperlink ref="B3" r:id="rId4" xr:uid="{085006E7-E7F1-F447-B0A9-D3901630C1D1}"/>
    <hyperlink ref="B4" r:id="rId5" xr:uid="{A76DE58D-1A5E-234A-ABA3-6CC619551FE2}"/>
    <hyperlink ref="B6" r:id="rId6" xr:uid="{3E0BDEF3-C6CD-9647-920B-BE897D64B84D}"/>
    <hyperlink ref="B5" r:id="rId7" xr:uid="{2AD9BD24-0771-DF4D-BD67-72A667B264D1}"/>
    <hyperlink ref="B8" r:id="rId8" xr:uid="{D09B0026-A6A5-3247-9D71-025793903B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9911-6F14-9C44-8B36-EE2D0ACFB1B4}">
  <dimension ref="A1:C5"/>
  <sheetViews>
    <sheetView zoomScale="213" workbookViewId="0">
      <selection activeCell="C23" sqref="C23"/>
    </sheetView>
  </sheetViews>
  <sheetFormatPr baseColWidth="10" defaultRowHeight="13" x14ac:dyDescent="0.15"/>
  <cols>
    <col min="1" max="1" width="31.83203125" style="1" customWidth="1"/>
    <col min="2" max="2" width="20.33203125" style="1" customWidth="1"/>
    <col min="3" max="3" width="17.5" style="1" customWidth="1"/>
    <col min="4" max="16384" width="10.83203125" style="1"/>
  </cols>
  <sheetData>
    <row r="1" spans="1:3" x14ac:dyDescent="0.15">
      <c r="A1" s="9" t="s">
        <v>424</v>
      </c>
      <c r="B1" s="9" t="s">
        <v>6</v>
      </c>
      <c r="C1" s="9" t="s">
        <v>493</v>
      </c>
    </row>
    <row r="2" spans="1:3" x14ac:dyDescent="0.15">
      <c r="A2" s="1" t="s">
        <v>486</v>
      </c>
      <c r="B2" s="7" t="s">
        <v>497</v>
      </c>
      <c r="C2" s="3">
        <v>584</v>
      </c>
    </row>
    <row r="3" spans="1:3" x14ac:dyDescent="0.15">
      <c r="A3" s="4" t="s">
        <v>494</v>
      </c>
      <c r="B3" s="7" t="s">
        <v>498</v>
      </c>
      <c r="C3" s="1">
        <v>0.65</v>
      </c>
    </row>
    <row r="4" spans="1:3" x14ac:dyDescent="0.15">
      <c r="A4" s="1" t="s">
        <v>495</v>
      </c>
      <c r="B4" s="7" t="s">
        <v>499</v>
      </c>
      <c r="C4" s="1">
        <v>2E-3</v>
      </c>
    </row>
    <row r="5" spans="1:3" x14ac:dyDescent="0.15">
      <c r="A5" s="1" t="s">
        <v>496</v>
      </c>
      <c r="B5" s="7" t="s">
        <v>500</v>
      </c>
      <c r="C5" s="1">
        <v>1.7000000000000001E-2</v>
      </c>
    </row>
  </sheetData>
  <hyperlinks>
    <hyperlink ref="B2" r:id="rId1" xr:uid="{11852CC5-EECA-E143-91A3-5E049340377F}"/>
    <hyperlink ref="B3" r:id="rId2" xr:uid="{F995963A-95A1-7040-B0F8-A4DBA8EBF5B7}"/>
    <hyperlink ref="B4" r:id="rId3" xr:uid="{40483C3D-4986-AC47-ACE7-048854326185}"/>
    <hyperlink ref="B5" r:id="rId4" xr:uid="{9824E08D-6DE9-564A-98C8-FD37CEB5E6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Speed - phylogeny</vt:lpstr>
      <vt:lpstr>Speed - line plot</vt:lpstr>
      <vt:lpstr>Acceleration - line plot</vt:lpstr>
      <vt:lpstr>area strain rate</vt:lpstr>
      <vt:lpstr>volume expansion strain rate</vt:lpstr>
      <vt:lpstr>density 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Ray Chang</cp:lastModifiedBy>
  <dcterms:created xsi:type="dcterms:W3CDTF">2024-01-12T18:41:52Z</dcterms:created>
  <dcterms:modified xsi:type="dcterms:W3CDTF">2026-07-10T18:32:01Z</dcterms:modified>
</cp:coreProperties>
</file>